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★프로젝트\sales-dashboard\"/>
    </mc:Choice>
  </mc:AlternateContent>
  <xr:revisionPtr revIDLastSave="0" documentId="13_ncr:1_{6EEAFF3C-F9CF-4F78-BC59-D50A5A58055D}" xr6:coauthVersionLast="47" xr6:coauthVersionMax="47" xr10:uidLastSave="{00000000-0000-0000-0000-000000000000}"/>
  <bookViews>
    <workbookView xWindow="28680" yWindow="-120" windowWidth="29040" windowHeight="15840" xr2:uid="{BFD87F8C-374A-42CF-9863-5FCB86809B2C}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0" l="1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<sst xmlns="http://schemas.openxmlformats.org/spreadsheetml/2006/main" count="108" uniqueCount="49">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</sst>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3" fillId="6" borderId="1" xfId="2" applyFont="1" applyFill="1" applyBorder="1" applyAlignment="1">
      <alignment horizontal="center" vertical="center"/>
    </xf>
    <xf numFmtId="41" fontId="3" fillId="6" borderId="7" xfId="2" applyFont="1" applyFill="1" applyBorder="1" applyAlignment="1">
      <alignment horizontal="center" vertical="center"/>
    </xf>
    <xf numFmtId="41" fontId="7" fillId="6" borderId="1" xfId="2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H43" sqref="H43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72">
        <f ca="1">TODAY()</f>
        <v>46142</v>
      </c>
      <c r="C3" s="73"/>
      <c r="D3" s="72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48" t="s">
        <v>41</v>
      </c>
      <c r="C4" s="49"/>
      <c r="D4" s="48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71"/>
      <c r="H6" s="71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50" t="s">
        <v>27</v>
      </c>
      <c r="C7" s="51"/>
      <c r="D7" s="50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48" t="s">
        <v>32</v>
      </c>
      <c r="C8" s="49"/>
      <c r="D8" s="48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5" t="s">
        <v>34</v>
      </c>
      <c r="C9" s="61" t="s">
        <v>29</v>
      </c>
      <c r="D9" s="62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6"/>
      <c r="C10" s="61" t="s">
        <v>14</v>
      </c>
      <c r="D10" s="62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6"/>
      <c r="C11" s="61" t="s">
        <v>13</v>
      </c>
      <c r="D11" s="62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6"/>
      <c r="C12" s="61" t="s">
        <v>35</v>
      </c>
      <c r="D12" s="6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7"/>
      <c r="C13" s="61" t="s">
        <v>37</v>
      </c>
      <c r="D13" s="62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2" t="s">
        <v>30</v>
      </c>
      <c r="C14" s="53"/>
      <c r="D14" s="54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50" t="s">
        <v>28</v>
      </c>
      <c r="C16" s="51"/>
      <c r="D16" s="50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48" t="s">
        <v>32</v>
      </c>
      <c r="C17" s="49"/>
      <c r="D17" s="48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5" t="s">
        <v>34</v>
      </c>
      <c r="C18" s="49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6"/>
      <c r="C19" s="49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6"/>
      <c r="C20" s="61" t="s">
        <v>14</v>
      </c>
      <c r="D20" s="62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6"/>
      <c r="C21" s="61" t="s">
        <v>13</v>
      </c>
      <c r="D21" s="62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6"/>
      <c r="C22" s="61" t="s">
        <v>35</v>
      </c>
      <c r="D22" s="62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7"/>
      <c r="C23" s="61" t="s">
        <v>37</v>
      </c>
      <c r="D23" s="62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2" t="s">
        <v>30</v>
      </c>
      <c r="C24" s="53"/>
      <c r="D24" s="54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69" t="s">
        <v>38</v>
      </c>
      <c r="C26" s="70"/>
      <c r="D26" s="69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3" t="s">
        <v>36</v>
      </c>
      <c r="C27" s="59"/>
      <c r="D27" s="64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58" t="s">
        <v>46</v>
      </c>
      <c r="C28" s="59"/>
      <c r="D28" s="60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67" t="s">
        <v>48</v>
      </c>
      <c r="C29" s="68"/>
      <c r="D29" s="67"/>
      <c r="E29" s="33">
        <v>35</v>
      </c>
      <c r="F29" s="33">
        <v>42</v>
      </c>
      <c r="G29" s="33">
        <v>85</v>
      </c>
      <c r="H29" s="33">
        <v>91</v>
      </c>
      <c r="I29" s="33"/>
      <c r="J29" s="33"/>
      <c r="K29" s="33"/>
      <c r="L29" s="33"/>
      <c r="M29" s="33"/>
      <c r="N29" s="33"/>
      <c r="O29" s="41"/>
      <c r="P29" s="41"/>
      <c r="Q29" s="44">
        <f>SUM(E29:P29)</f>
        <v>253</v>
      </c>
    </row>
    <row r="30" spans="2:20" ht="18.75" customHeight="1" x14ac:dyDescent="0.3">
      <c r="B30" s="65" t="s">
        <v>40</v>
      </c>
      <c r="C30" s="66"/>
      <c r="D30" s="65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48" t="s">
        <v>34</v>
      </c>
      <c r="C31" s="61" t="s">
        <v>29</v>
      </c>
      <c r="D31" s="62"/>
      <c r="E31" s="26">
        <v>704956000</v>
      </c>
      <c r="F31" s="25">
        <v>1093822000</v>
      </c>
      <c r="G31" s="25">
        <v>1227994000</v>
      </c>
      <c r="H31" s="46">
        <v>1872742000</v>
      </c>
      <c r="I31" s="13"/>
      <c r="J31" s="13"/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4899514000</v>
      </c>
    </row>
    <row r="32" spans="2:20" ht="18.75" customHeight="1" x14ac:dyDescent="0.3">
      <c r="B32" s="48"/>
      <c r="C32" s="61" t="s">
        <v>14</v>
      </c>
      <c r="D32" s="62"/>
      <c r="E32" s="26">
        <v>255256300</v>
      </c>
      <c r="F32" s="25">
        <v>347149100</v>
      </c>
      <c r="G32" s="12">
        <v>409260000</v>
      </c>
      <c r="H32" s="46">
        <v>333864700</v>
      </c>
      <c r="I32" s="13"/>
      <c r="J32" s="13"/>
      <c r="K32" s="13"/>
      <c r="L32" s="13"/>
      <c r="M32" s="13"/>
      <c r="N32" s="13"/>
      <c r="O32" s="13"/>
      <c r="P32" s="13"/>
      <c r="Q32" s="15">
        <f>E32+F32+G32+H32+I32+J32+K32+L32+M32+N32+O32+P32</f>
        <v>1345530100</v>
      </c>
    </row>
    <row r="33" spans="2:20" ht="18.75" customHeight="1" x14ac:dyDescent="0.3">
      <c r="B33" s="49"/>
      <c r="C33" s="61" t="s">
        <v>42</v>
      </c>
      <c r="D33" s="62"/>
      <c r="E33" s="26"/>
      <c r="F33" s="25">
        <v>15000000</v>
      </c>
      <c r="G33" s="26">
        <v>15000000</v>
      </c>
      <c r="H33" s="46">
        <v>47000000</v>
      </c>
      <c r="I33" s="25"/>
      <c r="J33" s="25"/>
      <c r="K33" s="25"/>
      <c r="L33" s="25"/>
      <c r="M33" s="25"/>
      <c r="N33" s="25"/>
      <c r="O33" s="25"/>
      <c r="P33" s="25"/>
      <c r="Q33" s="15">
        <f>E33+F33+G33+H33+I33+J33+K33+L33+M33+N33+O33+P33</f>
        <v>77000000</v>
      </c>
    </row>
    <row r="34" spans="2:20" s="5" customFormat="1" ht="18.75" customHeight="1" x14ac:dyDescent="0.3">
      <c r="B34" s="48"/>
      <c r="C34" s="61" t="s">
        <v>13</v>
      </c>
      <c r="D34" s="62"/>
      <c r="E34" s="12"/>
      <c r="F34" s="13"/>
      <c r="G34" s="12"/>
      <c r="H34" s="45"/>
      <c r="I34" s="13"/>
      <c r="J34" s="13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48"/>
      <c r="C35" s="61" t="s">
        <v>47</v>
      </c>
      <c r="D35" s="62"/>
      <c r="E35" s="12"/>
      <c r="F35" s="13"/>
      <c r="G35" s="12"/>
      <c r="H35" s="45"/>
      <c r="I35" s="13"/>
      <c r="J35" s="13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48" t="s">
        <v>30</v>
      </c>
      <c r="C36" s="49"/>
      <c r="D36" s="48"/>
      <c r="E36" s="16">
        <f>SUM(E31:E35)</f>
        <v>960212300</v>
      </c>
      <c r="F36" s="15">
        <f>SUM(F31:F35)</f>
        <v>1455971100</v>
      </c>
      <c r="G36" s="16">
        <f>SUM(G31:G35)</f>
        <v>1652254000</v>
      </c>
      <c r="H36" s="47">
        <f t="shared" ref="H36:Q36" si="4">SUM(H31:H35)</f>
        <v>2253606700</v>
      </c>
      <c r="I36" s="13">
        <f t="shared" si="4"/>
        <v>0</v>
      </c>
      <c r="J36" s="13">
        <f t="shared" si="4"/>
        <v>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6322044100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:D3"/>
    <mergeCell ref="B9:B13"/>
    <mergeCell ref="C9:D9"/>
    <mergeCell ref="C10:D10"/>
    <mergeCell ref="C11:D11"/>
    <mergeCell ref="B8:D8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I5:I13 I30 I33:I34 I31 I32 H5:H13 H30 H34 G5:G13 G30 G34 F5:F13 F30 F34 N5:N13 N30 N33:N34 N31 N32 M5:M13 M30 M33:M34 M31 M32 L5:L13 L30 L33:L34 L31 L32 K5:K13 K30 K33:K34 K31 K32 J5:J13 J30 J33:J34 J31 J32" evalError="1"/>
    <ignoredError sqref="E14:E16 E19:E22 E17 E24:E26 F23 F18 I14:I16 I19:I22 I17 I24:I26 I23 I18 I29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2026-04-30T09:21:36Z</dcterms:modified>
</cp:coreProperties>
</file>