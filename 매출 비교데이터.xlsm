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A67FD119-DCBE-43E4-8289-9094177D70C3}" xr6:coauthVersionLast="47" xr6:coauthVersionMax="47" xr10:uidLastSave="{00000000-0000-0000-0000-000000000000}"/>
  <bookViews>
    <workbookView xWindow="29505" yWindow="990" windowWidth="26955" windowHeight="1500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<sst xmlns="http://schemas.openxmlformats.org/spreadsheetml/2006/main" count="108" uniqueCount="49">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</sst>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I39" sqref="I39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2">
        <f ca="1">TODAY()</f>
        <v>46126</v>
      </c>
      <c r="C3" s="73"/>
      <c r="D3" s="72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8" t="s">
        <v>41</v>
      </c>
      <c r="C4" s="49"/>
      <c r="D4" s="48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71"/>
      <c r="H6" s="7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50" t="s">
        <v>27</v>
      </c>
      <c r="C7" s="51"/>
      <c r="D7" s="5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8" t="s">
        <v>32</v>
      </c>
      <c r="C8" s="49"/>
      <c r="D8" s="48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5" t="s">
        <v>34</v>
      </c>
      <c r="C9" s="61" t="s">
        <v>29</v>
      </c>
      <c r="D9" s="62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6"/>
      <c r="C10" s="61" t="s">
        <v>14</v>
      </c>
      <c r="D10" s="62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6"/>
      <c r="C11" s="61" t="s">
        <v>13</v>
      </c>
      <c r="D11" s="62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6"/>
      <c r="C12" s="61" t="s">
        <v>35</v>
      </c>
      <c r="D12" s="6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7"/>
      <c r="C13" s="61" t="s">
        <v>37</v>
      </c>
      <c r="D13" s="6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2" t="s">
        <v>30</v>
      </c>
      <c r="C14" s="53"/>
      <c r="D14" s="54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50" t="s">
        <v>28</v>
      </c>
      <c r="C16" s="51"/>
      <c r="D16" s="5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8" t="s">
        <v>32</v>
      </c>
      <c r="C17" s="49"/>
      <c r="D17" s="48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5" t="s">
        <v>34</v>
      </c>
      <c r="C18" s="49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6"/>
      <c r="C19" s="49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6"/>
      <c r="C20" s="61" t="s">
        <v>14</v>
      </c>
      <c r="D20" s="62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6"/>
      <c r="C21" s="61" t="s">
        <v>13</v>
      </c>
      <c r="D21" s="62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6"/>
      <c r="C22" s="61" t="s">
        <v>35</v>
      </c>
      <c r="D22" s="62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7"/>
      <c r="C23" s="61" t="s">
        <v>37</v>
      </c>
      <c r="D23" s="62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2" t="s">
        <v>30</v>
      </c>
      <c r="C24" s="53"/>
      <c r="D24" s="54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9" t="s">
        <v>38</v>
      </c>
      <c r="C26" s="70"/>
      <c r="D26" s="6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3" t="s">
        <v>36</v>
      </c>
      <c r="C27" s="59"/>
      <c r="D27" s="64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8" t="s">
        <v>46</v>
      </c>
      <c r="C28" s="59"/>
      <c r="D28" s="60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7" t="s">
        <v>48</v>
      </c>
      <c r="C29" s="68"/>
      <c r="D29" s="67"/>
      <c r="E29" s="33">
        <v>35</v>
      </c>
      <c r="F29" s="33">
        <v>42</v>
      </c>
      <c r="G29" s="33">
        <v>92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169</v>
      </c>
    </row>
    <row r="30" spans="2:20" ht="18.75" customHeight="1" x14ac:dyDescent="0.3">
      <c r="B30" s="65" t="s">
        <v>40</v>
      </c>
      <c r="C30" s="66"/>
      <c r="D30" s="65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8" t="s">
        <v>34</v>
      </c>
      <c r="C31" s="61" t="s">
        <v>29</v>
      </c>
      <c r="D31" s="62"/>
      <c r="E31" s="12">
        <v>461842000</v>
      </c>
      <c r="F31" s="13">
        <v>1221642000</v>
      </c>
      <c r="G31" s="25">
        <v>1227994000</v>
      </c>
      <c r="H31" s="46">
        <v>1368514000</v>
      </c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4279992000</v>
      </c>
    </row>
    <row r="32" spans="2:20" ht="18.75" customHeight="1" x14ac:dyDescent="0.3">
      <c r="B32" s="48"/>
      <c r="C32" s="61" t="s">
        <v>14</v>
      </c>
      <c r="D32" s="62"/>
      <c r="E32" s="12">
        <v>244868000</v>
      </c>
      <c r="F32" s="13">
        <v>129900000</v>
      </c>
      <c r="G32" s="12">
        <v>409260000</v>
      </c>
      <c r="H32" s="46">
        <v>149959700</v>
      </c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933987700</v>
      </c>
    </row>
    <row r="33" spans="2:20" ht="18.75" customHeight="1" x14ac:dyDescent="0.3">
      <c r="B33" s="49"/>
      <c r="C33" s="61" t="s">
        <v>42</v>
      </c>
      <c r="D33" s="62"/>
      <c r="E33" s="26"/>
      <c r="F33" s="25">
        <v>15000000</v>
      </c>
      <c r="G33" s="26">
        <v>15000000</v>
      </c>
      <c r="H33" s="46">
        <v>37500000</v>
      </c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67500000</v>
      </c>
    </row>
    <row r="34" spans="2:20" s="5" customFormat="1" ht="18.75" customHeight="1" x14ac:dyDescent="0.3">
      <c r="B34" s="48"/>
      <c r="C34" s="61" t="s">
        <v>13</v>
      </c>
      <c r="D34" s="62"/>
      <c r="E34" s="12"/>
      <c r="F34" s="13"/>
      <c r="G34" s="12"/>
      <c r="H34" s="45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8"/>
      <c r="C35" s="61" t="s">
        <v>47</v>
      </c>
      <c r="D35" s="62"/>
      <c r="E35" s="12"/>
      <c r="F35" s="13"/>
      <c r="G35" s="12"/>
      <c r="H35" s="45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8" t="s">
        <v>30</v>
      </c>
      <c r="C36" s="49"/>
      <c r="D36" s="48"/>
      <c r="E36" s="16">
        <f>SUM(E31:E35)</f>
        <v>706710000</v>
      </c>
      <c r="F36" s="15">
        <f>SUM(F31:F35)</f>
        <v>1366542000</v>
      </c>
      <c r="G36" s="16">
        <f>SUM(G31:G35)</f>
        <v>1652254000</v>
      </c>
      <c r="H36" s="47">
        <f t="shared" ref="H36:Q36" si="4">SUM(H31:H35)</f>
        <v>1555973700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5281479700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I33:I34 I31 I32 H5:H13 H30 H34 G5:G13 G30 G34 F5:F13 F30 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2026-04-14T08:20:41Z</dcterms:modified>
</cp:coreProperties>
</file>