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F2101D01-44CC-4171-9A68-036D10468C00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<sst xmlns="http://schemas.openxmlformats.org/spreadsheetml/2006/main" count="108" uniqueCount="49">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</sst>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0" sqref="J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5">
        <f ca="1">TODAY()</f>
        <v>46155</v>
      </c>
      <c r="C3" s="46"/>
      <c r="D3" s="45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2" t="s">
        <v>41</v>
      </c>
      <c r="C4" s="53"/>
      <c r="D4" s="52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59"/>
      <c r="H6" s="5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0" t="s">
        <v>27</v>
      </c>
      <c r="C7" s="61"/>
      <c r="D7" s="6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2" t="s">
        <v>32</v>
      </c>
      <c r="C8" s="53"/>
      <c r="D8" s="52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7" t="s">
        <v>34</v>
      </c>
      <c r="C9" s="50" t="s">
        <v>29</v>
      </c>
      <c r="D9" s="51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48"/>
      <c r="C10" s="50" t="s">
        <v>14</v>
      </c>
      <c r="D10" s="51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48"/>
      <c r="C11" s="50" t="s">
        <v>13</v>
      </c>
      <c r="D11" s="51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48"/>
      <c r="C12" s="50" t="s">
        <v>35</v>
      </c>
      <c r="D12" s="5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49"/>
      <c r="C13" s="50" t="s">
        <v>37</v>
      </c>
      <c r="D13" s="51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4" t="s">
        <v>30</v>
      </c>
      <c r="C14" s="55"/>
      <c r="D14" s="56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0" t="s">
        <v>28</v>
      </c>
      <c r="C16" s="61"/>
      <c r="D16" s="6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2" t="s">
        <v>32</v>
      </c>
      <c r="C17" s="53"/>
      <c r="D17" s="52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7" t="s">
        <v>34</v>
      </c>
      <c r="C18" s="53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48"/>
      <c r="C19" s="53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48"/>
      <c r="C20" s="50" t="s">
        <v>14</v>
      </c>
      <c r="D20" s="51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48"/>
      <c r="C21" s="50" t="s">
        <v>13</v>
      </c>
      <c r="D21" s="51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48"/>
      <c r="C22" s="50" t="s">
        <v>35</v>
      </c>
      <c r="D22" s="51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49"/>
      <c r="C23" s="50" t="s">
        <v>37</v>
      </c>
      <c r="D23" s="51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4" t="s">
        <v>30</v>
      </c>
      <c r="C24" s="55"/>
      <c r="D24" s="56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7" t="s">
        <v>38</v>
      </c>
      <c r="C26" s="58"/>
      <c r="D26" s="5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5" t="s">
        <v>36</v>
      </c>
      <c r="C27" s="63"/>
      <c r="D27" s="66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2" t="s">
        <v>46</v>
      </c>
      <c r="C28" s="63"/>
      <c r="D28" s="64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9" t="s">
        <v>48</v>
      </c>
      <c r="C29" s="70"/>
      <c r="D29" s="69"/>
      <c r="E29" s="33">
        <v>35</v>
      </c>
      <c r="F29" s="33">
        <v>42</v>
      </c>
      <c r="G29" s="33">
        <v>85</v>
      </c>
      <c r="H29" s="33">
        <v>107</v>
      </c>
      <c r="I29" s="33">
        <v>26</v>
      </c>
      <c r="J29" s="33"/>
      <c r="K29" s="33"/>
      <c r="L29" s="33"/>
      <c r="M29" s="33"/>
      <c r="N29" s="33"/>
      <c r="O29" s="41"/>
      <c r="P29" s="41"/>
      <c r="Q29" s="44">
        <f>SUM(E29:P29)</f>
        <v>295</v>
      </c>
    </row>
    <row r="30" spans="2:20" ht="18.75" customHeight="1" x14ac:dyDescent="0.3">
      <c r="B30" s="67" t="s">
        <v>40</v>
      </c>
      <c r="C30" s="68"/>
      <c r="D30" s="67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2" t="s">
        <v>34</v>
      </c>
      <c r="C31" s="50" t="s">
        <v>29</v>
      </c>
      <c r="D31" s="51"/>
      <c r="E31" s="26">
        <v>704956000</v>
      </c>
      <c r="F31" s="25">
        <v>1093822000</v>
      </c>
      <c r="G31" s="25">
        <v>1227994000</v>
      </c>
      <c r="H31" s="26">
        <v>1872742000</v>
      </c>
      <c r="I31" s="25">
        <v>244339000</v>
      </c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5143853000</v>
      </c>
    </row>
    <row r="32" spans="2:20" ht="18.75" customHeight="1" x14ac:dyDescent="0.3">
      <c r="B32" s="52"/>
      <c r="C32" s="50" t="s">
        <v>14</v>
      </c>
      <c r="D32" s="51"/>
      <c r="E32" s="26">
        <v>255256300</v>
      </c>
      <c r="F32" s="25">
        <v>347149100</v>
      </c>
      <c r="G32" s="12">
        <v>409260000</v>
      </c>
      <c r="H32" s="26">
        <v>333864700</v>
      </c>
      <c r="I32" s="25">
        <v>126196300</v>
      </c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1471726400</v>
      </c>
    </row>
    <row r="33" spans="2:20" ht="18.75" customHeight="1" x14ac:dyDescent="0.3">
      <c r="B33" s="53"/>
      <c r="C33" s="50" t="s">
        <v>42</v>
      </c>
      <c r="D33" s="51"/>
      <c r="E33" s="26"/>
      <c r="F33" s="25">
        <v>15000000</v>
      </c>
      <c r="G33" s="26">
        <v>15000000</v>
      </c>
      <c r="H33" s="26">
        <v>47000000</v>
      </c>
      <c r="I33" s="25">
        <v>9200000</v>
      </c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86200000</v>
      </c>
    </row>
    <row r="34" spans="2:20" s="5" customFormat="1" ht="18.75" customHeight="1" x14ac:dyDescent="0.3">
      <c r="B34" s="52"/>
      <c r="C34" s="50" t="s">
        <v>13</v>
      </c>
      <c r="D34" s="51"/>
      <c r="E34" s="12"/>
      <c r="F34" s="13"/>
      <c r="G34" s="12"/>
      <c r="H34" s="12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2"/>
      <c r="C35" s="50" t="s">
        <v>47</v>
      </c>
      <c r="D35" s="51"/>
      <c r="E35" s="12"/>
      <c r="F35" s="13"/>
      <c r="G35" s="12"/>
      <c r="H35" s="12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2" t="s">
        <v>30</v>
      </c>
      <c r="C36" s="53"/>
      <c r="D36" s="52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16">
        <f t="shared" ref="H36:Q36" si="4">SUM(H31:H35)</f>
        <v>2253606700</v>
      </c>
      <c r="I36" s="15">
        <f t="shared" si="4"/>
        <v>379735300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6701779400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4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2026-05-13T00:14:18Z</dcterms:modified>
</cp:coreProperties>
</file>