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899C9086-67A9-5B14-2C2D-5A8001700F7D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★프로젝트\sales-dashboard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6" i="30" l="1"/>
  <c r="J36" i="30"/>
  <c r="G36" i="30" l="1"/>
  <c r="I36" i="30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H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<sst xmlns="http://schemas.openxmlformats.org/spreadsheetml/2006/main" count="108" uniqueCount="49">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</sst>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2" sqref="J42:J43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0">
        <f ca="1">TODAY()</f>
        <v>46212</v>
      </c>
      <c r="C3" s="71"/>
      <c r="D3" s="70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6" t="s">
        <v>41</v>
      </c>
      <c r="C4" s="47"/>
      <c r="D4" s="46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9"/>
      <c r="H6" s="6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48" t="s">
        <v>27</v>
      </c>
      <c r="C7" s="49"/>
      <c r="D7" s="48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6" t="s">
        <v>32</v>
      </c>
      <c r="C8" s="47"/>
      <c r="D8" s="46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3" t="s">
        <v>34</v>
      </c>
      <c r="C9" s="59" t="s">
        <v>29</v>
      </c>
      <c r="D9" s="60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4"/>
      <c r="C10" s="59" t="s">
        <v>14</v>
      </c>
      <c r="D10" s="60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4"/>
      <c r="C11" s="59" t="s">
        <v>13</v>
      </c>
      <c r="D11" s="60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4"/>
      <c r="C12" s="59" t="s">
        <v>35</v>
      </c>
      <c r="D12" s="6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5"/>
      <c r="C13" s="59" t="s">
        <v>37</v>
      </c>
      <c r="D13" s="60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0" t="s">
        <v>30</v>
      </c>
      <c r="C14" s="51"/>
      <c r="D14" s="52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48" t="s">
        <v>28</v>
      </c>
      <c r="C16" s="49"/>
      <c r="D16" s="48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6" t="s">
        <v>32</v>
      </c>
      <c r="C17" s="47"/>
      <c r="D17" s="46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3" t="s">
        <v>34</v>
      </c>
      <c r="C18" s="47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4"/>
      <c r="C19" s="47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4"/>
      <c r="C20" s="59" t="s">
        <v>14</v>
      </c>
      <c r="D20" s="60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4"/>
      <c r="C21" s="59" t="s">
        <v>13</v>
      </c>
      <c r="D21" s="60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4"/>
      <c r="C22" s="59" t="s">
        <v>35</v>
      </c>
      <c r="D22" s="60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5"/>
      <c r="C23" s="59" t="s">
        <v>37</v>
      </c>
      <c r="D23" s="60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0" t="s">
        <v>30</v>
      </c>
      <c r="C24" s="51"/>
      <c r="D24" s="52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7" t="s">
        <v>38</v>
      </c>
      <c r="C26" s="68"/>
      <c r="D26" s="6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1" t="s">
        <v>36</v>
      </c>
      <c r="C27" s="57"/>
      <c r="D27" s="62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6" t="s">
        <v>46</v>
      </c>
      <c r="C28" s="57"/>
      <c r="D28" s="58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5" t="s">
        <v>48</v>
      </c>
      <c r="C29" s="66"/>
      <c r="D29" s="65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15</v>
      </c>
      <c r="L29" s="33"/>
      <c r="M29" s="33"/>
      <c r="N29" s="33"/>
      <c r="O29" s="41"/>
      <c r="P29" s="41"/>
      <c r="Q29" s="44">
        <f>SUM(E29:P29)</f>
        <v>385</v>
      </c>
    </row>
    <row r="30" spans="2:20" ht="18.75" customHeight="1" x14ac:dyDescent="0.3">
      <c r="B30" s="63" t="s">
        <v>40</v>
      </c>
      <c r="C30" s="64"/>
      <c r="D30" s="63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6" t="s">
        <v>34</v>
      </c>
      <c r="C31" s="59" t="s">
        <v>29</v>
      </c>
      <c r="D31" s="60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219176000</v>
      </c>
      <c r="L31" s="13"/>
      <c r="M31" s="13"/>
      <c r="N31" s="13"/>
      <c r="O31" s="13"/>
      <c r="P31" s="13">
        <v>0</v>
      </c>
      <c r="Q31" s="15">
        <f>E31+F31+G31+H31+I31+J31+K31+L31+M31+N31+O31+P31</f>
        <v>6690674000</v>
      </c>
    </row>
    <row r="32" spans="2:20" ht="18.75" customHeight="1" x14ac:dyDescent="0.3">
      <c r="B32" s="46"/>
      <c r="C32" s="59" t="s">
        <v>14</v>
      </c>
      <c r="D32" s="60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59300000</v>
      </c>
      <c r="L32" s="13"/>
      <c r="M32" s="13"/>
      <c r="N32" s="13"/>
      <c r="O32" s="13"/>
      <c r="P32" s="13"/>
      <c r="Q32" s="15">
        <f>E32+F32+G32+H32+I32+J32+K32+L32+M32+N32+O32+P32</f>
        <v>2055418810</v>
      </c>
    </row>
    <row r="33" spans="2:20" ht="18.75" customHeight="1" x14ac:dyDescent="0.3">
      <c r="B33" s="47"/>
      <c r="C33" s="59" t="s">
        <v>42</v>
      </c>
      <c r="D33" s="60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15">
        <f>E33+F33+G33+H33+I33+J33+K33+L33+M33+N33+O33+P33</f>
        <v>106600000</v>
      </c>
    </row>
    <row r="34" spans="2:20" s="5" customFormat="1" ht="18.75" customHeight="1" x14ac:dyDescent="0.3">
      <c r="B34" s="46"/>
      <c r="C34" s="59" t="s">
        <v>13</v>
      </c>
      <c r="D34" s="60"/>
      <c r="E34" s="12"/>
      <c r="F34" s="13"/>
      <c r="G34" s="25"/>
      <c r="H34" s="12"/>
      <c r="I34" s="25"/>
      <c r="J34" s="25"/>
      <c r="K34" s="25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6"/>
      <c r="C35" s="59" t="s">
        <v>47</v>
      </c>
      <c r="D35" s="60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6" t="s">
        <v>30</v>
      </c>
      <c r="C36" s="47"/>
      <c r="D36" s="46"/>
      <c r="E36" s="16">
        <f>SUM(E31:E35)</f>
        <v>960212300</v>
      </c>
      <c r="F36" s="15">
        <f>SUM(F31:F35)</f>
        <v>1455971100</v>
      </c>
      <c r="G36" s="45">
        <f>SUM(G31:G35)</f>
        <v>1998972410</v>
      </c>
      <c r="H36" s="16">
        <f t="shared" ref="H36:Q36" si="4">SUM(H31:H35)</f>
        <v>2253606700</v>
      </c>
      <c r="I36" s="45">
        <f t="shared" si="4"/>
        <v>1231952300</v>
      </c>
      <c r="J36" s="25">
        <f t="shared" si="4"/>
        <v>673502000</v>
      </c>
      <c r="K36" s="25">
        <f t="shared" si="4"/>
        <v>278476000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8852692810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2026-07-09T09:21:01Z</dcterms:modified>
</cp:coreProperties>
</file>