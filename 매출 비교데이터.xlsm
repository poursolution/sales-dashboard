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1. 브릿지원\1-6. 예상매출 작업\"/>
    </mc:Choice>
  </mc:AlternateContent>
  <bookViews>
    <workbookView xWindow="-28920" yWindow="-60" windowWidth="29040" windowHeight="15840"/>
  </bookViews>
  <sheets>
    <sheet name="26년 매출" sheetId="30" r:id="rId1"/>
    <sheet name="Sheet3" sheetId="4" state="veryHidden" r:id="rId2"/>
  </sheets>
  <functionGroups builtInGroupCount="18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30" l="1"/>
  <c r="Q32" i="30"/>
  <c r="Q33" i="30"/>
  <c r="Q34" i="30"/>
  <c r="Q35" i="30"/>
  <c r="E36" i="30"/>
  <c r="F36" i="30"/>
  <c r="G36" i="30"/>
  <c r="H36" i="30"/>
  <c r="I36" i="30"/>
  <c r="J36" i="30"/>
  <c r="L36" i="30"/>
  <c r="M36" i="30"/>
  <c r="N36" i="30"/>
  <c r="O36" i="30"/>
  <c r="P36" i="30"/>
  <c r="Q36" i="30" l="1"/>
  <c r="E18" i="30"/>
  <c r="Q17" i="30" l="1"/>
  <c r="Q29" i="30"/>
  <c r="Q28" i="30"/>
  <c r="J4" i="30"/>
  <c r="N24" i="30" l="1"/>
  <c r="O24" i="30"/>
  <c r="P24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Administrator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<sst xmlns="http://schemas.openxmlformats.org/spreadsheetml/2006/main" count="108" uniqueCount="49">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</sst>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/>
    <cellStyle name="표준" xfId="0" builtinId="0"/>
    <cellStyle name="표준 2" xfId="1"/>
    <cellStyle name="표준 3" xfId="5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L29" sqref="L29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46234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69" t="s">
        <v>41</v>
      </c>
      <c r="C4" s="70"/>
      <c r="D4" s="69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69" t="s">
        <v>32</v>
      </c>
      <c r="C8" s="70"/>
      <c r="D8" s="69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4" t="s">
        <v>34</v>
      </c>
      <c r="C9" s="47" t="s">
        <v>29</v>
      </c>
      <c r="D9" s="49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5"/>
      <c r="C10" s="47" t="s">
        <v>14</v>
      </c>
      <c r="D10" s="49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5"/>
      <c r="C11" s="47" t="s">
        <v>13</v>
      </c>
      <c r="D11" s="49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5"/>
      <c r="C12" s="47" t="s">
        <v>35</v>
      </c>
      <c r="D12" s="4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6"/>
      <c r="C13" s="47" t="s">
        <v>37</v>
      </c>
      <c r="D13" s="49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48"/>
      <c r="D14" s="53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69" t="s">
        <v>32</v>
      </c>
      <c r="C17" s="70"/>
      <c r="D17" s="69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4" t="s">
        <v>34</v>
      </c>
      <c r="C18" s="70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5"/>
      <c r="C19" s="70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5"/>
      <c r="C20" s="47" t="s">
        <v>14</v>
      </c>
      <c r="D20" s="49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5"/>
      <c r="C21" s="47" t="s">
        <v>13</v>
      </c>
      <c r="D21" s="49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5"/>
      <c r="C22" s="47" t="s">
        <v>35</v>
      </c>
      <c r="D22" s="49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6"/>
      <c r="C23" s="47" t="s">
        <v>37</v>
      </c>
      <c r="D23" s="49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48"/>
      <c r="D24" s="53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7" t="s">
        <v>38</v>
      </c>
      <c r="C26" s="68"/>
      <c r="D26" s="67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0" t="s">
        <v>36</v>
      </c>
      <c r="C27" s="58"/>
      <c r="D27" s="61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7" t="s">
        <v>46</v>
      </c>
      <c r="C28" s="58"/>
      <c r="D28" s="59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5" t="s">
        <v>48</v>
      </c>
      <c r="C29" s="66"/>
      <c r="D29" s="65"/>
      <c r="E29" s="33">
        <v>35</v>
      </c>
      <c r="F29" s="33">
        <v>42</v>
      </c>
      <c r="G29" s="33">
        <v>85</v>
      </c>
      <c r="H29" s="33">
        <v>107</v>
      </c>
      <c r="I29" s="33">
        <v>50</v>
      </c>
      <c r="J29" s="33">
        <v>51</v>
      </c>
      <c r="K29" s="33">
        <v>20</v>
      </c>
      <c r="L29" s="33"/>
      <c r="M29" s="33"/>
      <c r="N29" s="33"/>
      <c r="O29" s="41"/>
      <c r="P29" s="41"/>
      <c r="Q29" s="44">
        <f>SUM(E29:P29)</f>
        <v>390</v>
      </c>
    </row>
    <row r="30" spans="2:20" ht="18.75" customHeight="1" x14ac:dyDescent="0.3">
      <c r="B30" s="62" t="s">
        <v>40</v>
      </c>
      <c r="C30" s="63"/>
      <c r="D30" s="64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4" t="s">
        <v>34</v>
      </c>
      <c r="C31" s="47" t="s">
        <v>29</v>
      </c>
      <c r="D31" s="49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474322000</v>
      </c>
      <c r="K31" s="25">
        <v>1301000000</v>
      </c>
      <c r="L31" s="13"/>
      <c r="M31" s="13"/>
      <c r="N31" s="13"/>
      <c r="O31" s="13"/>
      <c r="P31" s="13">
        <v>0</v>
      </c>
      <c r="Q31" s="45">
        <f>E31+F31+G31+H31+I31+J31+K31+L31+M31+N31+O31+P31</f>
        <v>7772498000</v>
      </c>
    </row>
    <row r="32" spans="2:20" ht="18.75" customHeight="1" x14ac:dyDescent="0.3">
      <c r="B32" s="55"/>
      <c r="C32" s="47" t="s">
        <v>14</v>
      </c>
      <c r="D32" s="49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180780000</v>
      </c>
      <c r="K32" s="25">
        <v>125984200</v>
      </c>
      <c r="L32" s="13"/>
      <c r="M32" s="13"/>
      <c r="N32" s="13"/>
      <c r="O32" s="13"/>
      <c r="P32" s="13"/>
      <c r="Q32" s="45">
        <f>E32+F32+G32+H32+I32+J32+K32+L32+M32+N32+O32+P32</f>
        <v>2122103010</v>
      </c>
    </row>
    <row r="33" spans="2:20" ht="18.75" customHeight="1" x14ac:dyDescent="0.3">
      <c r="B33" s="55"/>
      <c r="C33" s="47" t="s">
        <v>42</v>
      </c>
      <c r="D33" s="49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18400000</v>
      </c>
      <c r="K33" s="25"/>
      <c r="L33" s="25"/>
      <c r="M33" s="25"/>
      <c r="N33" s="25"/>
      <c r="O33" s="25"/>
      <c r="P33" s="25"/>
      <c r="Q33" s="45">
        <f>E33+F33+G33+H33+I33+J33+K33+L33+M33+N33+O33+P33</f>
        <v>106600000</v>
      </c>
    </row>
    <row r="34" spans="2:20" s="5" customFormat="1" ht="18.75" customHeight="1" x14ac:dyDescent="0.3">
      <c r="B34" s="55"/>
      <c r="C34" s="47" t="s">
        <v>13</v>
      </c>
      <c r="D34" s="49"/>
      <c r="E34" s="12"/>
      <c r="F34" s="13"/>
      <c r="G34" s="25"/>
      <c r="H34" s="12"/>
      <c r="I34" s="25"/>
      <c r="J34" s="25"/>
      <c r="K34" s="25">
        <v>4840000</v>
      </c>
      <c r="L34" s="13"/>
      <c r="M34" s="13"/>
      <c r="N34" s="13"/>
      <c r="O34" s="13"/>
      <c r="P34" s="13"/>
      <c r="Q34" s="45">
        <f>E34+F34+G34+H34+I34+J34+K34+L34+M34+N34+O34+P34</f>
        <v>4840000</v>
      </c>
      <c r="T34" s="6"/>
    </row>
    <row r="35" spans="2:20" s="5" customFormat="1" ht="18.75" customHeight="1" x14ac:dyDescent="0.3">
      <c r="B35" s="56"/>
      <c r="C35" s="47" t="s">
        <v>47</v>
      </c>
      <c r="D35" s="49"/>
      <c r="E35" s="12"/>
      <c r="F35" s="13"/>
      <c r="G35" s="25"/>
      <c r="H35" s="12"/>
      <c r="I35" s="25"/>
      <c r="J35" s="25"/>
      <c r="K35" s="25"/>
      <c r="L35" s="13"/>
      <c r="M35" s="13"/>
      <c r="N35" s="13"/>
      <c r="O35" s="13"/>
      <c r="P35" s="13"/>
      <c r="Q35" s="45">
        <f>E35+F35+G35+H35+I35+J35+K35+L35+M35+N35+O35+P35</f>
        <v>0</v>
      </c>
      <c r="T35" s="6"/>
    </row>
    <row r="36" spans="2:20" s="5" customFormat="1" ht="18.75" customHeight="1" x14ac:dyDescent="0.3">
      <c r="B36" s="47" t="s">
        <v>30</v>
      </c>
      <c r="C36" s="48"/>
      <c r="D36" s="49"/>
      <c r="E36" s="16">
        <f>SUM(E31:E35)</f>
        <v>960212300</v>
      </c>
      <c r="F36" s="45">
        <f>SUM(F31:F35)</f>
        <v>1455971100</v>
      </c>
      <c r="G36" s="46">
        <f>SUM(G31:G35)</f>
        <v>1998972410</v>
      </c>
      <c r="H36" s="16">
        <f t="shared" ref="H36:Q36" si="4">SUM(H31:H35)</f>
        <v>2253606700</v>
      </c>
      <c r="I36" s="46">
        <f t="shared" si="4"/>
        <v>1231952300</v>
      </c>
      <c r="J36" s="25">
        <f t="shared" si="4"/>
        <v>673502000</v>
      </c>
      <c r="K36" s="25">
        <v>1197661000</v>
      </c>
      <c r="L36" s="13">
        <f t="shared" si="4"/>
        <v>0</v>
      </c>
      <c r="M36" s="13">
        <f t="shared" si="4"/>
        <v>0</v>
      </c>
      <c r="N36" s="45">
        <f t="shared" si="4"/>
        <v>0</v>
      </c>
      <c r="O36" s="45">
        <f t="shared" si="4"/>
        <v>0</v>
      </c>
      <c r="P36" s="45">
        <f t="shared" si="4"/>
        <v>0</v>
      </c>
      <c r="Q36" s="45">
        <f t="shared" si="4"/>
        <v>10006041010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L31 L32 K5:K13 K30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User</cp:lastModifiedBy>
  <cp:lastPrinted>2025-07-11T00:55:45Z</cp:lastPrinted>
  <dcterms:created xsi:type="dcterms:W3CDTF">2018-11-23T00:48:02Z</dcterms:created>
  <dcterms:modified xsi:type="dcterms:W3CDTF">2026-07-31T04:15:24Z</dcterms:modified>
</cp:coreProperties>
</file>