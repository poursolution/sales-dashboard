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★프로젝트\sales-dashboard\"/>
    </mc:Choice>
  </mc:AlternateContent>
  <xr:revisionPtr revIDLastSave="0" documentId="13_ncr:1_{AE5596E4-9EAC-475F-8916-74AF7C743F75}" xr6:coauthVersionLast="47" xr6:coauthVersionMax="47" xr10:uidLastSave="{00000000-0000-0000-0000-000000000000}"/>
  <bookViews>
    <workbookView xWindow="28680" yWindow="-120" windowWidth="29040" windowHeight="15840" xr2:uid="{BFD87F8C-374A-42CF-9863-5FCB86809B2C}"/>
  </bookViews>
  <sheets>
    <sheet name="26년 매출" sheetId="30" r:id="rId1"/>
    <sheet name="Sheet3" sheetId="4" state="veryHidden" r:id="rId2"/>
  </sheets>
  <externalReferences>
    <externalReference r:id="rId3"/>
  </externalReferences>
  <definedNames>
    <definedName name="_xlpm.p" hidden="1" xlm="1">#NAME?</definedName>
    <definedName name="_xlpm.v" hidden="1" xlm="1">#NAME?</definedName>
    <definedName name="DO">SUM(#REF!)</definedName>
    <definedName name="ro">#REF!</definedName>
    <definedName name="TotalMonthlyExpenses">SUM(#REF!)</definedName>
    <definedName name="TotalMonthlyIncome">SUM(#REF!)</definedName>
    <definedName name="건수">SUM(#REF!)</definedName>
    <definedName name="브랜드">SUM(#REF!)</definedName>
    <definedName name="ㅇㅇ">SUM(#REF!)</definedName>
    <definedName name="예스폼">'[1]내역서 체크리스트'!#REF!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0" l="1"/>
  <c r="Q17" i="30" l="1"/>
  <c r="Q29" i="30"/>
  <c r="Q28" i="30"/>
  <c r="J4" i="30"/>
  <c r="N24" i="30" l="1"/>
  <c r="O24" i="30"/>
  <c r="P24" i="30"/>
  <c r="Q33" i="30"/>
  <c r="M24" i="30" l="1"/>
  <c r="L24" i="30"/>
  <c r="J24" i="30"/>
  <c r="I24" i="30"/>
  <c r="H24" i="30"/>
  <c r="G24" i="30"/>
  <c r="F24" i="30"/>
  <c r="E24" i="30"/>
  <c r="K19" i="30"/>
  <c r="Q19" i="30" s="1"/>
  <c r="K18" i="30"/>
  <c r="Q23" i="30"/>
  <c r="Q22" i="30"/>
  <c r="Q21" i="30"/>
  <c r="Q20" i="30"/>
  <c r="P36" i="30"/>
  <c r="O36" i="30"/>
  <c r="N36" i="30"/>
  <c r="M36" i="30"/>
  <c r="L36" i="30"/>
  <c r="K36" i="30"/>
  <c r="J36" i="30"/>
  <c r="I36" i="30"/>
  <c r="H36" i="30"/>
  <c r="G36" i="30"/>
  <c r="F36" i="30"/>
  <c r="E36" i="30"/>
  <c r="Q35" i="30"/>
  <c r="Q34" i="30"/>
  <c r="Q32" i="30"/>
  <c r="Q31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Q13" i="30"/>
  <c r="Q12" i="30"/>
  <c r="Q11" i="30"/>
  <c r="Q10" i="30"/>
  <c r="Q9" i="30"/>
  <c r="Q8" i="30"/>
  <c r="B3" i="30"/>
  <c r="K24" i="30" l="1"/>
  <c r="Q18" i="30"/>
  <c r="Q36" i="30"/>
  <c r="Q14" i="30"/>
  <c r="Q24" i="30" l="1"/>
  <c r="E1" i="4" l="1"/>
  <c r="D1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I3" authorId="0" shapeId="0" xr:uid="{F13BA2CA-4071-4DB7-8E3E-E775FAD70C2F}">
      <text>
        <r>
          <rPr>
            <b/>
            <sz val="9"/>
            <color indexed="81"/>
            <rFont val="Tahoma"/>
            <family val="2"/>
          </rPr>
          <t>24,25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+S/N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통합관리</t>
        </r>
      </text>
    </comment>
  </commentList>
</comments>
</file>

<file path=xl/sharedStrings.xml><?xml version="1.0" encoding="utf-8"?>
<sst xmlns="http://schemas.openxmlformats.org/spreadsheetml/2006/main" count="108" uniqueCount="49">
  <si>
    <t>정렬방식 선택</t>
    <phoneticPr fontId="1" type="noConversion"/>
  </si>
  <si>
    <t>결재란 선택</t>
    <phoneticPr fontId="1" type="noConversion"/>
  </si>
  <si>
    <t>1개</t>
    <phoneticPr fontId="1" type="noConversion"/>
  </si>
  <si>
    <t>2개</t>
    <phoneticPr fontId="1" type="noConversion"/>
  </si>
  <si>
    <t>3개</t>
    <phoneticPr fontId="1" type="noConversion"/>
  </si>
  <si>
    <t>4개</t>
    <phoneticPr fontId="1" type="noConversion"/>
  </si>
  <si>
    <t>거래처명</t>
    <phoneticPr fontId="2" type="noConversion"/>
  </si>
  <si>
    <t>검색기간</t>
    <phoneticPr fontId="1" type="noConversion"/>
  </si>
  <si>
    <t>거래처</t>
  </si>
  <si>
    <t>품목</t>
  </si>
  <si>
    <t>세액</t>
  </si>
  <si>
    <t>매입, 매출대장</t>
    <phoneticPr fontId="1" type="noConversion"/>
  </si>
  <si>
    <t>컨설팅</t>
    <phoneticPr fontId="1" type="noConversion"/>
  </si>
  <si>
    <t>특허료</t>
    <phoneticPr fontId="1" type="noConversion"/>
  </si>
  <si>
    <t>자재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</si>
  <si>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</si>
  <si>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</si>
  <si>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</si>
  <si>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</si>
  <si>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</si>
  <si>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</si>
  <si>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</si>
  <si>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</si>
  <si>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</si>
  <si>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</si>
  <si>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</si>
  <si>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</si>
  <si>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24년</t>
    <phoneticPr fontId="1" type="noConversion"/>
  </si>
  <si>
    <t>25년</t>
    <phoneticPr fontId="1" type="noConversion"/>
  </si>
  <si>
    <t>실행</t>
    <phoneticPr fontId="1" type="noConversion"/>
  </si>
  <si>
    <t>합계</t>
    <phoneticPr fontId="1" type="noConversion"/>
  </si>
  <si>
    <t xml:space="preserve"> 특허료</t>
    <phoneticPr fontId="1" type="noConversion"/>
  </si>
  <si>
    <t>공고문수</t>
    <phoneticPr fontId="1" type="noConversion"/>
  </si>
  <si>
    <t>총계</t>
    <phoneticPr fontId="1" type="noConversion"/>
  </si>
  <si>
    <t>매출</t>
    <phoneticPr fontId="1" type="noConversion"/>
  </si>
  <si>
    <t>솔루션</t>
    <phoneticPr fontId="1" type="noConversion"/>
  </si>
  <si>
    <t>목표금액</t>
    <phoneticPr fontId="1" type="noConversion"/>
  </si>
  <si>
    <t>S/N솔루션</t>
    <phoneticPr fontId="1" type="noConversion"/>
  </si>
  <si>
    <t>26년</t>
    <phoneticPr fontId="1" type="noConversion"/>
  </si>
  <si>
    <t>#26년 목표 대비 진척 현황</t>
    <phoneticPr fontId="1" type="noConversion"/>
  </si>
  <si>
    <t>26년 예상매출</t>
    <phoneticPr fontId="1" type="noConversion"/>
  </si>
  <si>
    <t>26년 목표</t>
    <phoneticPr fontId="1" type="noConversion"/>
  </si>
  <si>
    <t>OBM 자재</t>
    <phoneticPr fontId="1" type="noConversion"/>
  </si>
  <si>
    <t># 26년 매출 현황</t>
    <phoneticPr fontId="1" type="noConversion"/>
  </si>
  <si>
    <t># 25년 매출</t>
    <phoneticPr fontId="1" type="noConversion"/>
  </si>
  <si>
    <t># 24년 매출</t>
    <phoneticPr fontId="1" type="noConversion"/>
  </si>
  <si>
    <t>목표 공고건수</t>
    <phoneticPr fontId="1" type="noConversion"/>
  </si>
  <si>
    <t>기술자문료</t>
    <phoneticPr fontId="1" type="noConversion"/>
  </si>
  <si>
    <t>26년 낙찰 공고건수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</si>
</sst>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0.0%"/>
    <numFmt numFmtId="178" formatCode="#,##0,"/>
    <numFmt numFmtId="179" formatCode="#,##0.000,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/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2" fillId="0" borderId="0">
      <alignment vertical="center"/>
    </xf>
  </cellStyleXfs>
  <cellXfs count="7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78" fontId="6" fillId="0" borderId="0" xfId="2" applyNumberFormat="1" applyFont="1" applyFill="1" applyAlignment="1">
      <alignment horizontal="center" vertical="center"/>
    </xf>
    <xf numFmtId="178" fontId="6" fillId="0" borderId="0" xfId="2" applyNumberFormat="1" applyFont="1" applyAlignment="1">
      <alignment horizontal="center" vertical="center"/>
    </xf>
    <xf numFmtId="178" fontId="3" fillId="0" borderId="0" xfId="2" applyNumberFormat="1" applyFont="1" applyBorder="1" applyAlignment="1">
      <alignment horizontal="center" vertical="center"/>
    </xf>
    <xf numFmtId="178" fontId="6" fillId="0" borderId="0" xfId="2" applyNumberFormat="1" applyFont="1" applyBorder="1" applyAlignment="1">
      <alignment horizontal="center" vertical="center"/>
    </xf>
    <xf numFmtId="41" fontId="3" fillId="0" borderId="1" xfId="2" applyFont="1" applyFill="1" applyBorder="1" applyAlignment="1">
      <alignment horizontal="center" vertical="center"/>
    </xf>
    <xf numFmtId="41" fontId="3" fillId="0" borderId="1" xfId="2" applyFont="1" applyBorder="1" applyAlignment="1">
      <alignment horizontal="center" vertical="center"/>
    </xf>
    <xf numFmtId="41" fontId="6" fillId="0" borderId="1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2" applyFont="1" applyFill="1" applyBorder="1" applyAlignment="1">
      <alignment horizontal="center" vertical="center"/>
    </xf>
    <xf numFmtId="41" fontId="6" fillId="0" borderId="0" xfId="2" applyFont="1" applyFill="1" applyAlignment="1">
      <alignment horizontal="center" vertical="center"/>
    </xf>
    <xf numFmtId="0" fontId="6" fillId="0" borderId="0" xfId="2" applyNumberFormat="1" applyFont="1" applyAlignment="1">
      <alignment horizontal="center" vertical="center"/>
    </xf>
    <xf numFmtId="41" fontId="7" fillId="2" borderId="1" xfId="2" applyFont="1" applyFill="1" applyBorder="1" applyAlignment="1">
      <alignment horizontal="center" vertical="center"/>
    </xf>
    <xf numFmtId="179" fontId="7" fillId="2" borderId="1" xfId="2" applyNumberFormat="1" applyFont="1" applyFill="1" applyBorder="1" applyAlignment="1">
      <alignment horizontal="center" vertical="center"/>
    </xf>
    <xf numFmtId="9" fontId="6" fillId="0" borderId="0" xfId="3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41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41" fontId="3" fillId="0" borderId="7" xfId="2" applyFont="1" applyBorder="1" applyAlignment="1">
      <alignment horizontal="center" vertical="center"/>
    </xf>
    <xf numFmtId="41" fontId="3" fillId="0" borderId="7" xfId="2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7" fontId="6" fillId="0" borderId="0" xfId="3" applyNumberFormat="1" applyFont="1" applyFill="1" applyAlignment="1">
      <alignment horizontal="center" vertical="center"/>
    </xf>
    <xf numFmtId="178" fontId="6" fillId="0" borderId="7" xfId="2" applyNumberFormat="1" applyFont="1" applyBorder="1" applyAlignment="1">
      <alignment horizontal="center" vertical="center"/>
    </xf>
    <xf numFmtId="41" fontId="7" fillId="2" borderId="9" xfId="2" applyFont="1" applyFill="1" applyBorder="1" applyAlignment="1">
      <alignment horizontal="center" vertical="center"/>
    </xf>
    <xf numFmtId="178" fontId="7" fillId="4" borderId="2" xfId="2" applyNumberFormat="1" applyFont="1" applyFill="1" applyBorder="1" applyAlignment="1">
      <alignment horizontal="center" vertical="center"/>
    </xf>
    <xf numFmtId="178" fontId="7" fillId="5" borderId="2" xfId="2" applyNumberFormat="1" applyFont="1" applyFill="1" applyBorder="1" applyAlignment="1">
      <alignment horizontal="center" vertical="center"/>
    </xf>
    <xf numFmtId="41" fontId="3" fillId="0" borderId="2" xfId="2" applyFont="1" applyFill="1" applyBorder="1" applyAlignment="1">
      <alignment horizontal="center" vertical="center"/>
    </xf>
    <xf numFmtId="178" fontId="7" fillId="2" borderId="2" xfId="2" applyNumberFormat="1" applyFont="1" applyFill="1" applyBorder="1" applyAlignment="1">
      <alignment horizontal="center" vertical="center"/>
    </xf>
    <xf numFmtId="176" fontId="3" fillId="0" borderId="2" xfId="2" applyNumberFormat="1" applyFont="1" applyFill="1" applyBorder="1" applyAlignment="1">
      <alignment horizontal="center" vertical="center"/>
    </xf>
    <xf numFmtId="178" fontId="7" fillId="3" borderId="9" xfId="2" applyNumberFormat="1" applyFont="1" applyFill="1" applyBorder="1" applyAlignment="1">
      <alignment horizontal="center" vertical="center"/>
    </xf>
    <xf numFmtId="178" fontId="7" fillId="3" borderId="2" xfId="2" applyNumberFormat="1" applyFont="1" applyFill="1" applyBorder="1" applyAlignment="1">
      <alignment horizontal="center" vertical="center"/>
    </xf>
    <xf numFmtId="178" fontId="7" fillId="4" borderId="9" xfId="2" applyNumberFormat="1" applyFont="1" applyFill="1" applyBorder="1" applyAlignment="1">
      <alignment horizontal="center" vertical="center"/>
    </xf>
    <xf numFmtId="176" fontId="3" fillId="0" borderId="9" xfId="2" applyNumberFormat="1" applyFont="1" applyFill="1" applyBorder="1" applyAlignment="1">
      <alignment horizontal="center" vertical="center"/>
    </xf>
    <xf numFmtId="178" fontId="7" fillId="2" borderId="9" xfId="2" applyNumberFormat="1" applyFont="1" applyFill="1" applyBorder="1" applyAlignment="1">
      <alignment horizontal="center" vertical="center"/>
    </xf>
    <xf numFmtId="41" fontId="3" fillId="0" borderId="9" xfId="2" applyFont="1" applyFill="1" applyBorder="1" applyAlignment="1">
      <alignment horizontal="center" vertical="center"/>
    </xf>
    <xf numFmtId="178" fontId="7" fillId="5" borderId="9" xfId="2" applyNumberFormat="1" applyFont="1" applyFill="1" applyBorder="1" applyAlignment="1">
      <alignment horizontal="center" vertical="center"/>
    </xf>
    <xf numFmtId="176" fontId="7" fillId="0" borderId="9" xfId="2" applyNumberFormat="1" applyFont="1" applyBorder="1" applyAlignment="1">
      <alignment horizontal="center" vertical="center"/>
    </xf>
    <xf numFmtId="41" fontId="7" fillId="0" borderId="9" xfId="2" applyFont="1" applyBorder="1" applyAlignment="1">
      <alignment horizontal="center" vertical="center"/>
    </xf>
    <xf numFmtId="41" fontId="3" fillId="6" borderId="1" xfId="2" applyFont="1" applyFill="1" applyBorder="1" applyAlignment="1">
      <alignment horizontal="center" vertical="center"/>
    </xf>
    <xf numFmtId="41" fontId="3" fillId="6" borderId="7" xfId="2" applyFont="1" applyFill="1" applyBorder="1" applyAlignment="1">
      <alignment horizontal="center" vertical="center"/>
    </xf>
    <xf numFmtId="41" fontId="7" fillId="6" borderId="1" xfId="2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14" fontId="7" fillId="3" borderId="7" xfId="0" applyNumberFormat="1" applyFont="1" applyFill="1" applyBorder="1" applyAlignment="1">
      <alignment horizontal="center" vertical="center"/>
    </xf>
  </cellXfs>
  <cellStyles count="6">
    <cellStyle name="백분율" xfId="3" builtinId="5"/>
    <cellStyle name="쉼표 [0]" xfId="2" builtinId="6"/>
    <cellStyle name="쉼표 [0] 2 3" xfId="4" xr:uid="{DB3C6F7B-7B4A-4157-91BA-22DDB4DE187D}"/>
    <cellStyle name="표준" xfId="0" builtinId="0"/>
    <cellStyle name="표준 2" xfId="1" xr:uid="{9E5C322D-0BC5-45F7-B173-2A79368296E8}"/>
    <cellStyle name="표준 3" xfId="5" xr:uid="{9F3C39A7-2D6D-4D41-B4D9-3D55668B6625}"/>
  </cellStyles>
  <dxfs count="0"/>
  <tableStyles count="0" defaultTableStyle="TableStyleMedium2" defaultPivotStyle="PivotStyleLight16"/>
  <colors>
    <mruColors>
      <color rgb="FFCC99FF"/>
      <color rgb="FFFFF5EB"/>
      <color rgb="FFCCCCFF"/>
      <color rgb="FF643200"/>
      <color rgb="FFCD9B64"/>
      <color rgb="FF32194D"/>
      <color rgb="FF64329B"/>
      <color rgb="FFFEF5FF"/>
      <color rgb="FF662819"/>
      <color rgb="FFCD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ownloads/&#52968;&#49444;&#54021;%20&#45236;&#50669;&#49436;%20&#48143;%20&#44228;&#50557;&#49436;%20&#52404;&#53356;&#47532;&#49828;&#5394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 체크리스트"/>
      <sheetName val="계약서 체크리스트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DE95-D71B-40E3-83B0-D4FCF663C2A0}">
  <dimension ref="B1:T49"/>
  <sheetViews>
    <sheetView tabSelected="1" zoomScale="85" zoomScaleNormal="85" workbookViewId="0">
      <pane xSplit="4" ySplit="4" topLeftCell="E25" activePane="bottomRight" state="frozen"/>
      <selection pane="topRight" activeCell="E1" sqref="E1"/>
      <selection pane="bottomLeft" activeCell="A7" sqref="A7"/>
      <selection pane="bottomRight" activeCell="I41" sqref="I41"/>
    </sheetView>
  </sheetViews>
  <sheetFormatPr defaultRowHeight="18.75" customHeight="1" x14ac:dyDescent="0.3"/>
  <cols>
    <col min="1" max="1" width="2.625" style="6" customWidth="1"/>
    <col min="2" max="3" width="9" style="6"/>
    <col min="4" max="4" width="13.875" style="6" customWidth="1"/>
    <col min="5" max="5" width="17.25" style="8" customWidth="1"/>
    <col min="6" max="17" width="17.25" style="9" customWidth="1"/>
    <col min="18" max="19" width="13.625" style="5" customWidth="1"/>
    <col min="20" max="20" width="14" style="6" bestFit="1" customWidth="1"/>
    <col min="21" max="16384" width="9" style="6"/>
  </cols>
  <sheetData>
    <row r="1" spans="2:20" ht="9" customHeight="1" x14ac:dyDescent="0.3"/>
    <row r="2" spans="2:20" ht="18.75" customHeight="1" x14ac:dyDescent="0.3">
      <c r="B2" s="7" t="s">
        <v>39</v>
      </c>
      <c r="C2" s="7"/>
    </row>
    <row r="3" spans="2:20" ht="18.75" customHeight="1" x14ac:dyDescent="0.3">
      <c r="B3" s="72">
        <f ca="1">TODAY()</f>
        <v>46134</v>
      </c>
      <c r="C3" s="73"/>
      <c r="D3" s="72"/>
      <c r="E3" s="37" t="s">
        <v>29</v>
      </c>
      <c r="F3" s="37" t="s">
        <v>14</v>
      </c>
      <c r="G3" s="37" t="s">
        <v>42</v>
      </c>
      <c r="H3" s="37" t="s">
        <v>31</v>
      </c>
      <c r="I3" s="36" t="s">
        <v>47</v>
      </c>
      <c r="J3" s="36" t="s">
        <v>33</v>
      </c>
      <c r="L3" s="5"/>
    </row>
    <row r="4" spans="2:20" ht="18.75" customHeight="1" x14ac:dyDescent="0.3">
      <c r="B4" s="48" t="s">
        <v>41</v>
      </c>
      <c r="C4" s="49"/>
      <c r="D4" s="48"/>
      <c r="E4" s="12">
        <v>12000000000</v>
      </c>
      <c r="F4" s="12">
        <v>10000000000</v>
      </c>
      <c r="G4" s="13">
        <v>213000000</v>
      </c>
      <c r="H4" s="13">
        <v>330000000</v>
      </c>
      <c r="I4" s="14">
        <v>457000000</v>
      </c>
      <c r="J4" s="13">
        <f>E4+F4+G4+H4+I4</f>
        <v>23000000000</v>
      </c>
      <c r="L4" s="5"/>
      <c r="M4" s="29" t="s">
        <v>41</v>
      </c>
    </row>
    <row r="5" spans="2:20" ht="18.75" hidden="1" customHeight="1" x14ac:dyDescent="0.3"/>
    <row r="6" spans="2:20" ht="18.75" hidden="1" customHeight="1" x14ac:dyDescent="0.3">
      <c r="B6" s="7" t="s">
        <v>45</v>
      </c>
      <c r="C6" s="7"/>
      <c r="G6" s="71"/>
      <c r="H6" s="71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</row>
    <row r="7" spans="2:20" ht="18.75" hidden="1" customHeight="1" x14ac:dyDescent="0.3">
      <c r="B7" s="50" t="s">
        <v>27</v>
      </c>
      <c r="C7" s="51"/>
      <c r="D7" s="50"/>
      <c r="E7" s="31" t="s">
        <v>15</v>
      </c>
      <c r="F7" s="31" t="s">
        <v>16</v>
      </c>
      <c r="G7" s="31" t="s">
        <v>17</v>
      </c>
      <c r="H7" s="31" t="s">
        <v>18</v>
      </c>
      <c r="I7" s="31" t="s">
        <v>19</v>
      </c>
      <c r="J7" s="31" t="s">
        <v>20</v>
      </c>
      <c r="K7" s="31" t="s">
        <v>21</v>
      </c>
      <c r="L7" s="31" t="s">
        <v>22</v>
      </c>
      <c r="M7" s="31" t="s">
        <v>23</v>
      </c>
      <c r="N7" s="31" t="s">
        <v>24</v>
      </c>
      <c r="O7" s="38" t="s">
        <v>25</v>
      </c>
      <c r="P7" s="38" t="s">
        <v>26</v>
      </c>
      <c r="Q7" s="38" t="s">
        <v>33</v>
      </c>
    </row>
    <row r="8" spans="2:20" ht="18.75" hidden="1" customHeight="1" x14ac:dyDescent="0.3">
      <c r="B8" s="48" t="s">
        <v>32</v>
      </c>
      <c r="C8" s="49"/>
      <c r="D8" s="48"/>
      <c r="E8" s="35">
        <v>9</v>
      </c>
      <c r="F8" s="35">
        <v>26</v>
      </c>
      <c r="G8" s="35">
        <v>31</v>
      </c>
      <c r="H8" s="35">
        <v>40</v>
      </c>
      <c r="I8" s="35">
        <v>26</v>
      </c>
      <c r="J8" s="35">
        <v>19</v>
      </c>
      <c r="K8" s="35">
        <v>27</v>
      </c>
      <c r="L8" s="35">
        <v>47</v>
      </c>
      <c r="M8" s="35">
        <v>23</v>
      </c>
      <c r="N8" s="35">
        <v>24</v>
      </c>
      <c r="O8" s="39">
        <v>25</v>
      </c>
      <c r="P8" s="39">
        <v>12</v>
      </c>
      <c r="Q8" s="43">
        <f>SUM(E8:P8)</f>
        <v>309</v>
      </c>
    </row>
    <row r="9" spans="2:20" ht="18.75" hidden="1" customHeight="1" x14ac:dyDescent="0.3">
      <c r="B9" s="55" t="s">
        <v>34</v>
      </c>
      <c r="C9" s="61" t="s">
        <v>29</v>
      </c>
      <c r="D9" s="62"/>
      <c r="E9" s="13"/>
      <c r="F9" s="13">
        <v>158421970</v>
      </c>
      <c r="G9" s="13">
        <v>346641150</v>
      </c>
      <c r="H9" s="13">
        <v>651125450</v>
      </c>
      <c r="I9" s="13">
        <v>790877400</v>
      </c>
      <c r="J9" s="13">
        <v>935384512</v>
      </c>
      <c r="K9" s="13">
        <v>190624950</v>
      </c>
      <c r="L9" s="13">
        <v>1077428800</v>
      </c>
      <c r="M9" s="13">
        <v>485302600</v>
      </c>
      <c r="N9" s="13">
        <v>698708900</v>
      </c>
      <c r="O9" s="13">
        <v>593322405</v>
      </c>
      <c r="P9" s="13">
        <v>261624090</v>
      </c>
      <c r="Q9" s="15">
        <f t="shared" ref="Q9:Q14" si="0">SUM(E9,F9,G9,H9,I9,J9,K9,L9,M9,N9,O9,P9)</f>
        <v>6189462227</v>
      </c>
    </row>
    <row r="10" spans="2:20" ht="18.75" hidden="1" customHeight="1" x14ac:dyDescent="0.3">
      <c r="B10" s="56"/>
      <c r="C10" s="61" t="s">
        <v>14</v>
      </c>
      <c r="D10" s="62"/>
      <c r="E10" s="13">
        <v>-1506250</v>
      </c>
      <c r="F10" s="13">
        <v>53565800</v>
      </c>
      <c r="G10" s="13">
        <v>405106139</v>
      </c>
      <c r="H10" s="13">
        <v>400313061</v>
      </c>
      <c r="I10" s="13">
        <v>646400600</v>
      </c>
      <c r="J10" s="13">
        <v>590105500</v>
      </c>
      <c r="K10" s="13">
        <v>228673196</v>
      </c>
      <c r="L10" s="13">
        <v>539293750</v>
      </c>
      <c r="M10" s="13">
        <v>558799700</v>
      </c>
      <c r="N10" s="13">
        <v>413475672</v>
      </c>
      <c r="O10" s="13">
        <v>213314700</v>
      </c>
      <c r="P10" s="13">
        <v>30883791</v>
      </c>
      <c r="Q10" s="15">
        <f t="shared" si="0"/>
        <v>4078425659</v>
      </c>
      <c r="T10" s="23"/>
    </row>
    <row r="11" spans="2:20" ht="18.75" hidden="1" customHeight="1" x14ac:dyDescent="0.3">
      <c r="B11" s="56"/>
      <c r="C11" s="61" t="s">
        <v>13</v>
      </c>
      <c r="D11" s="62"/>
      <c r="E11" s="13">
        <v>339000</v>
      </c>
      <c r="F11" s="13"/>
      <c r="G11" s="13">
        <v>7945000</v>
      </c>
      <c r="H11" s="13"/>
      <c r="I11" s="13">
        <v>4890000</v>
      </c>
      <c r="J11" s="13"/>
      <c r="K11" s="13">
        <v>1851100</v>
      </c>
      <c r="L11" s="13">
        <v>2804000</v>
      </c>
      <c r="M11" s="13">
        <v>147000</v>
      </c>
      <c r="N11" s="13">
        <v>3178000</v>
      </c>
      <c r="O11" s="13">
        <v>5273000</v>
      </c>
      <c r="P11" s="13"/>
      <c r="Q11" s="15">
        <f t="shared" si="0"/>
        <v>26427100</v>
      </c>
      <c r="T11" s="23"/>
    </row>
    <row r="12" spans="2:20" ht="18.75" hidden="1" customHeight="1" x14ac:dyDescent="0.3">
      <c r="B12" s="56"/>
      <c r="C12" s="61" t="s">
        <v>35</v>
      </c>
      <c r="D12" s="62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>
        <v>29370124</v>
      </c>
      <c r="Q12" s="15">
        <f t="shared" si="0"/>
        <v>29370124</v>
      </c>
      <c r="T12" s="23"/>
    </row>
    <row r="13" spans="2:20" ht="18.75" hidden="1" customHeight="1" x14ac:dyDescent="0.3">
      <c r="B13" s="57"/>
      <c r="C13" s="61" t="s">
        <v>37</v>
      </c>
      <c r="D13" s="62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5">
        <f t="shared" si="0"/>
        <v>0</v>
      </c>
      <c r="T13" s="23"/>
    </row>
    <row r="14" spans="2:20" ht="18.75" hidden="1" customHeight="1" x14ac:dyDescent="0.3">
      <c r="B14" s="52" t="s">
        <v>30</v>
      </c>
      <c r="C14" s="53"/>
      <c r="D14" s="54"/>
      <c r="E14" s="16">
        <f>SUM(E9:E12)</f>
        <v>-1167250</v>
      </c>
      <c r="F14" s="16">
        <f t="shared" ref="F14:P14" si="1">SUM(F9:F12)</f>
        <v>211987770</v>
      </c>
      <c r="G14" s="16">
        <f t="shared" si="1"/>
        <v>759692289</v>
      </c>
      <c r="H14" s="16">
        <f t="shared" si="1"/>
        <v>1051438511</v>
      </c>
      <c r="I14" s="16">
        <f t="shared" si="1"/>
        <v>1442168000</v>
      </c>
      <c r="J14" s="16">
        <f t="shared" si="1"/>
        <v>1525490012</v>
      </c>
      <c r="K14" s="16">
        <f t="shared" si="1"/>
        <v>421149246</v>
      </c>
      <c r="L14" s="12">
        <f t="shared" si="1"/>
        <v>1619526550</v>
      </c>
      <c r="M14" s="12">
        <f t="shared" si="1"/>
        <v>1044249300</v>
      </c>
      <c r="N14" s="12">
        <f t="shared" si="1"/>
        <v>1115362572</v>
      </c>
      <c r="O14" s="12">
        <f t="shared" si="1"/>
        <v>811910105</v>
      </c>
      <c r="P14" s="12">
        <f t="shared" si="1"/>
        <v>321878005</v>
      </c>
      <c r="Q14" s="15">
        <f t="shared" si="0"/>
        <v>10323685110</v>
      </c>
    </row>
    <row r="15" spans="2:20" ht="18.75" hidden="1" customHeight="1" x14ac:dyDescent="0.3">
      <c r="B15" s="7" t="s">
        <v>44</v>
      </c>
      <c r="T15" s="24"/>
    </row>
    <row r="16" spans="2:20" ht="18.75" hidden="1" customHeight="1" x14ac:dyDescent="0.3">
      <c r="B16" s="50" t="s">
        <v>28</v>
      </c>
      <c r="C16" s="51"/>
      <c r="D16" s="50"/>
      <c r="E16" s="31" t="s">
        <v>15</v>
      </c>
      <c r="F16" s="31" t="s">
        <v>16</v>
      </c>
      <c r="G16" s="31" t="s">
        <v>17</v>
      </c>
      <c r="H16" s="31" t="s">
        <v>18</v>
      </c>
      <c r="I16" s="31" t="s">
        <v>19</v>
      </c>
      <c r="J16" s="31" t="s">
        <v>20</v>
      </c>
      <c r="K16" s="31" t="s">
        <v>21</v>
      </c>
      <c r="L16" s="31" t="s">
        <v>22</v>
      </c>
      <c r="M16" s="31" t="s">
        <v>23</v>
      </c>
      <c r="N16" s="31" t="s">
        <v>24</v>
      </c>
      <c r="O16" s="38" t="s">
        <v>25</v>
      </c>
      <c r="P16" s="38" t="s">
        <v>26</v>
      </c>
      <c r="Q16" s="38" t="s">
        <v>33</v>
      </c>
    </row>
    <row r="17" spans="2:20" ht="18.75" hidden="1" customHeight="1" x14ac:dyDescent="0.3">
      <c r="B17" s="48" t="s">
        <v>32</v>
      </c>
      <c r="C17" s="49"/>
      <c r="D17" s="48"/>
      <c r="E17" s="35">
        <v>10</v>
      </c>
      <c r="F17" s="35">
        <v>21</v>
      </c>
      <c r="G17" s="35">
        <v>61</v>
      </c>
      <c r="H17" s="35">
        <v>79</v>
      </c>
      <c r="I17" s="35">
        <v>48</v>
      </c>
      <c r="J17" s="35">
        <v>29</v>
      </c>
      <c r="K17" s="35">
        <v>31</v>
      </c>
      <c r="L17" s="35">
        <v>50</v>
      </c>
      <c r="M17" s="35">
        <v>49</v>
      </c>
      <c r="N17" s="35">
        <v>36</v>
      </c>
      <c r="O17" s="39">
        <v>24</v>
      </c>
      <c r="P17" s="39">
        <v>14</v>
      </c>
      <c r="Q17" s="43">
        <f>SUM(E17:P17)</f>
        <v>452</v>
      </c>
    </row>
    <row r="18" spans="2:20" ht="18.75" hidden="1" customHeight="1" x14ac:dyDescent="0.3">
      <c r="B18" s="55" t="s">
        <v>34</v>
      </c>
      <c r="C18" s="49" t="s">
        <v>29</v>
      </c>
      <c r="D18" s="27" t="s">
        <v>14</v>
      </c>
      <c r="E18" s="12">
        <f>157056650+51840000</f>
        <v>208896650</v>
      </c>
      <c r="F18" s="12">
        <v>10145000</v>
      </c>
      <c r="G18" s="12">
        <v>54128800</v>
      </c>
      <c r="H18" s="12">
        <v>694588272</v>
      </c>
      <c r="I18" s="12">
        <v>942050068</v>
      </c>
      <c r="J18" s="12">
        <v>857388350</v>
      </c>
      <c r="K18" s="12">
        <f>680645048-9337900</f>
        <v>671307148</v>
      </c>
      <c r="L18" s="12">
        <v>500101100</v>
      </c>
      <c r="M18" s="12">
        <v>686602178</v>
      </c>
      <c r="N18" s="12">
        <v>488082100</v>
      </c>
      <c r="O18" s="12">
        <v>989022200</v>
      </c>
      <c r="P18" s="12">
        <v>160129014</v>
      </c>
      <c r="Q18" s="16">
        <f t="shared" ref="Q18:Q24" si="2">SUM(E18,F18,G18,H18,I18,J18,K18,L18,M18,N18,O18,P18)</f>
        <v>6262440880</v>
      </c>
      <c r="R18" s="17"/>
      <c r="S18" s="17"/>
    </row>
    <row r="19" spans="2:20" ht="18.75" hidden="1" customHeight="1" x14ac:dyDescent="0.3">
      <c r="B19" s="56"/>
      <c r="C19" s="49"/>
      <c r="D19" s="27" t="s">
        <v>12</v>
      </c>
      <c r="E19" s="26">
        <v>34676000</v>
      </c>
      <c r="F19" s="26"/>
      <c r="G19" s="26">
        <v>206813348</v>
      </c>
      <c r="H19" s="26">
        <v>285492000</v>
      </c>
      <c r="I19" s="26">
        <v>63487300</v>
      </c>
      <c r="J19" s="26">
        <v>291441450</v>
      </c>
      <c r="K19" s="26">
        <f>357923830+9337900</f>
        <v>367261730</v>
      </c>
      <c r="L19" s="26">
        <v>83746300</v>
      </c>
      <c r="M19" s="26">
        <v>112424500</v>
      </c>
      <c r="N19" s="26">
        <v>34890600</v>
      </c>
      <c r="O19" s="26">
        <v>599285207</v>
      </c>
      <c r="P19" s="26">
        <v>258622586</v>
      </c>
      <c r="Q19" s="16">
        <f t="shared" si="2"/>
        <v>2338141021</v>
      </c>
      <c r="R19" s="17"/>
      <c r="S19" s="17"/>
    </row>
    <row r="20" spans="2:20" ht="18.75" hidden="1" customHeight="1" x14ac:dyDescent="0.3">
      <c r="B20" s="56"/>
      <c r="C20" s="61" t="s">
        <v>14</v>
      </c>
      <c r="D20" s="62"/>
      <c r="E20" s="12">
        <v>61171100</v>
      </c>
      <c r="F20" s="12">
        <v>129461500</v>
      </c>
      <c r="G20" s="12">
        <v>570518500</v>
      </c>
      <c r="H20" s="12">
        <v>459155400</v>
      </c>
      <c r="I20" s="12">
        <v>823403300</v>
      </c>
      <c r="J20" s="12">
        <v>479260250</v>
      </c>
      <c r="K20" s="12">
        <v>318433848</v>
      </c>
      <c r="L20" s="12">
        <v>369177400</v>
      </c>
      <c r="M20" s="12">
        <v>587460685</v>
      </c>
      <c r="N20" s="12">
        <v>609615700</v>
      </c>
      <c r="O20" s="12">
        <v>582776368</v>
      </c>
      <c r="P20" s="12">
        <v>197633700</v>
      </c>
      <c r="Q20" s="16">
        <f t="shared" si="2"/>
        <v>5188067751</v>
      </c>
      <c r="R20" s="17"/>
      <c r="S20" s="17"/>
      <c r="T20" s="23"/>
    </row>
    <row r="21" spans="2:20" ht="18.75" hidden="1" customHeight="1" x14ac:dyDescent="0.3">
      <c r="B21" s="56"/>
      <c r="C21" s="61" t="s">
        <v>13</v>
      </c>
      <c r="D21" s="62"/>
      <c r="E21" s="12">
        <v>21461150</v>
      </c>
      <c r="F21" s="12">
        <v>10876200</v>
      </c>
      <c r="G21" s="12"/>
      <c r="H21" s="12">
        <v>2527000</v>
      </c>
      <c r="I21" s="12">
        <v>5443450</v>
      </c>
      <c r="J21" s="12">
        <v>14333650</v>
      </c>
      <c r="K21" s="12">
        <v>32922391</v>
      </c>
      <c r="L21" s="12">
        <v>46541700</v>
      </c>
      <c r="M21" s="12">
        <v>18919350</v>
      </c>
      <c r="N21" s="12">
        <v>22095250</v>
      </c>
      <c r="O21" s="12">
        <v>18657041</v>
      </c>
      <c r="P21" s="12">
        <v>57037600</v>
      </c>
      <c r="Q21" s="16">
        <f t="shared" si="2"/>
        <v>250814782</v>
      </c>
      <c r="R21" s="17"/>
      <c r="S21" s="17"/>
      <c r="T21" s="23"/>
    </row>
    <row r="22" spans="2:20" ht="18.75" hidden="1" customHeight="1" x14ac:dyDescent="0.3">
      <c r="B22" s="56"/>
      <c r="C22" s="61" t="s">
        <v>35</v>
      </c>
      <c r="D22" s="62"/>
      <c r="E22" s="12"/>
      <c r="F22" s="12">
        <v>94589560</v>
      </c>
      <c r="G22" s="12"/>
      <c r="H22" s="12"/>
      <c r="I22" s="12"/>
      <c r="J22" s="12">
        <v>0</v>
      </c>
      <c r="K22" s="12"/>
      <c r="L22" s="12"/>
      <c r="M22" s="12"/>
      <c r="N22" s="12"/>
      <c r="O22" s="12"/>
      <c r="P22" s="12"/>
      <c r="Q22" s="16">
        <f t="shared" si="2"/>
        <v>94589560</v>
      </c>
      <c r="R22" s="17"/>
      <c r="S22" s="28"/>
      <c r="T22" s="23"/>
    </row>
    <row r="23" spans="2:20" ht="18.75" hidden="1" customHeight="1" x14ac:dyDescent="0.3">
      <c r="B23" s="57"/>
      <c r="C23" s="61" t="s">
        <v>37</v>
      </c>
      <c r="D23" s="62"/>
      <c r="E23" s="13"/>
      <c r="F23" s="13">
        <v>48254570</v>
      </c>
      <c r="G23" s="13">
        <v>2185150</v>
      </c>
      <c r="H23" s="13"/>
      <c r="I23" s="13">
        <v>30657600</v>
      </c>
      <c r="J23" s="12">
        <v>3700000</v>
      </c>
      <c r="K23" s="12">
        <v>29640000</v>
      </c>
      <c r="L23" s="13"/>
      <c r="M23" s="13"/>
      <c r="N23" s="13">
        <v>20430000</v>
      </c>
      <c r="O23" s="13">
        <v>41710000</v>
      </c>
      <c r="P23" s="13">
        <v>24431500</v>
      </c>
      <c r="Q23" s="15">
        <f t="shared" si="2"/>
        <v>201008820</v>
      </c>
      <c r="T23" s="23"/>
    </row>
    <row r="24" spans="2:20" ht="18.75" hidden="1" customHeight="1" x14ac:dyDescent="0.3">
      <c r="B24" s="52" t="s">
        <v>30</v>
      </c>
      <c r="C24" s="53"/>
      <c r="D24" s="54"/>
      <c r="E24" s="15">
        <f t="shared" ref="E24:P24" si="3">SUM(E18:E23)</f>
        <v>326204900</v>
      </c>
      <c r="F24" s="15">
        <f t="shared" si="3"/>
        <v>293326830</v>
      </c>
      <c r="G24" s="15">
        <f t="shared" si="3"/>
        <v>833645798</v>
      </c>
      <c r="H24" s="15">
        <f t="shared" si="3"/>
        <v>1441762672</v>
      </c>
      <c r="I24" s="15">
        <f t="shared" si="3"/>
        <v>1865041718</v>
      </c>
      <c r="J24" s="15">
        <f t="shared" si="3"/>
        <v>1646123700</v>
      </c>
      <c r="K24" s="15">
        <f t="shared" si="3"/>
        <v>1419565117</v>
      </c>
      <c r="L24" s="13">
        <f t="shared" si="3"/>
        <v>999566500</v>
      </c>
      <c r="M24" s="15">
        <f t="shared" si="3"/>
        <v>1405406713</v>
      </c>
      <c r="N24" s="15">
        <f t="shared" si="3"/>
        <v>1175113650</v>
      </c>
      <c r="O24" s="15">
        <f t="shared" si="3"/>
        <v>2231450816</v>
      </c>
      <c r="P24" s="12">
        <f t="shared" si="3"/>
        <v>697854400</v>
      </c>
      <c r="Q24" s="15">
        <f t="shared" si="2"/>
        <v>14335062814</v>
      </c>
    </row>
    <row r="25" spans="2:20" ht="18.75" customHeight="1" x14ac:dyDescent="0.3">
      <c r="B25" s="7" t="s">
        <v>43</v>
      </c>
      <c r="T25" s="24"/>
    </row>
    <row r="26" spans="2:20" ht="18.75" customHeight="1" x14ac:dyDescent="0.3">
      <c r="B26" s="69" t="s">
        <v>38</v>
      </c>
      <c r="C26" s="70"/>
      <c r="D26" s="69"/>
      <c r="E26" s="34" t="s">
        <v>15</v>
      </c>
      <c r="F26" s="34" t="s">
        <v>16</v>
      </c>
      <c r="G26" s="34" t="s">
        <v>17</v>
      </c>
      <c r="H26" s="34" t="s">
        <v>18</v>
      </c>
      <c r="I26" s="34" t="s">
        <v>19</v>
      </c>
      <c r="J26" s="34" t="s">
        <v>20</v>
      </c>
      <c r="K26" s="34" t="s">
        <v>21</v>
      </c>
      <c r="L26" s="34" t="s">
        <v>22</v>
      </c>
      <c r="M26" s="34" t="s">
        <v>23</v>
      </c>
      <c r="N26" s="34" t="s">
        <v>24</v>
      </c>
      <c r="O26" s="40" t="s">
        <v>25</v>
      </c>
      <c r="P26" s="40" t="s">
        <v>26</v>
      </c>
      <c r="Q26" s="40" t="s">
        <v>33</v>
      </c>
      <c r="T26" s="24"/>
    </row>
    <row r="27" spans="2:20" ht="18.75" customHeight="1" x14ac:dyDescent="0.3">
      <c r="B27" s="63" t="s">
        <v>36</v>
      </c>
      <c r="C27" s="59"/>
      <c r="D27" s="64"/>
      <c r="E27" s="19">
        <v>523381920.075903</v>
      </c>
      <c r="F27" s="20">
        <v>470630451.88830101</v>
      </c>
      <c r="G27" s="20">
        <v>1337549308.4881573</v>
      </c>
      <c r="H27" s="20">
        <v>2313247028.3712006</v>
      </c>
      <c r="I27" s="20">
        <v>2992380296.5206871</v>
      </c>
      <c r="J27" s="20">
        <v>2641135626.0695348</v>
      </c>
      <c r="K27" s="20">
        <v>2277631993.2908249</v>
      </c>
      <c r="L27" s="20">
        <v>1603762034.2721715</v>
      </c>
      <c r="M27" s="20">
        <v>2254915434.8616586</v>
      </c>
      <c r="N27" s="20">
        <v>1885419987.3895299</v>
      </c>
      <c r="O27" s="20">
        <v>3580268146.2878728</v>
      </c>
      <c r="P27" s="20">
        <v>1119677772.4841576</v>
      </c>
      <c r="Q27" s="19">
        <v>22999999999.999996</v>
      </c>
      <c r="S27" s="21"/>
    </row>
    <row r="28" spans="2:20" ht="18.75" customHeight="1" x14ac:dyDescent="0.3">
      <c r="B28" s="58" t="s">
        <v>46</v>
      </c>
      <c r="C28" s="59"/>
      <c r="D28" s="60"/>
      <c r="E28" s="30">
        <v>16</v>
      </c>
      <c r="F28" s="30">
        <v>34</v>
      </c>
      <c r="G28" s="30">
        <v>98</v>
      </c>
      <c r="H28" s="30">
        <v>127</v>
      </c>
      <c r="I28" s="30">
        <v>77</v>
      </c>
      <c r="J28" s="30">
        <v>47</v>
      </c>
      <c r="K28" s="30">
        <v>50</v>
      </c>
      <c r="L28" s="30">
        <v>80</v>
      </c>
      <c r="M28" s="30">
        <v>79</v>
      </c>
      <c r="N28" s="30">
        <v>56</v>
      </c>
      <c r="O28" s="30">
        <v>39</v>
      </c>
      <c r="P28" s="30">
        <v>22</v>
      </c>
      <c r="Q28" s="30">
        <f>SUM(E28+F28+G28+H28+I28+J28+K28+L28+M28+N28+O28+P28)</f>
        <v>725</v>
      </c>
      <c r="S28" s="21"/>
    </row>
    <row r="29" spans="2:20" ht="18.75" customHeight="1" x14ac:dyDescent="0.3">
      <c r="B29" s="67" t="s">
        <v>48</v>
      </c>
      <c r="C29" s="68"/>
      <c r="D29" s="67"/>
      <c r="E29" s="33">
        <v>35</v>
      </c>
      <c r="F29" s="33">
        <v>42</v>
      </c>
      <c r="G29" s="33">
        <v>85</v>
      </c>
      <c r="H29" s="33">
        <v>600</v>
      </c>
      <c r="I29" s="33"/>
      <c r="J29" s="33"/>
      <c r="K29" s="33"/>
      <c r="L29" s="33"/>
      <c r="M29" s="33"/>
      <c r="N29" s="33"/>
      <c r="O29" s="41"/>
      <c r="P29" s="41"/>
      <c r="Q29" s="44">
        <f>SUM(E29:P29)</f>
        <v>762</v>
      </c>
    </row>
    <row r="30" spans="2:20" ht="18.75" customHeight="1" x14ac:dyDescent="0.3">
      <c r="B30" s="65" t="s">
        <v>40</v>
      </c>
      <c r="C30" s="66"/>
      <c r="D30" s="65"/>
      <c r="E30" s="32" t="s">
        <v>15</v>
      </c>
      <c r="F30" s="32" t="s">
        <v>16</v>
      </c>
      <c r="G30" s="32" t="s">
        <v>17</v>
      </c>
      <c r="H30" s="32" t="s">
        <v>18</v>
      </c>
      <c r="I30" s="32" t="s">
        <v>19</v>
      </c>
      <c r="J30" s="32" t="s">
        <v>20</v>
      </c>
      <c r="K30" s="32" t="s">
        <v>21</v>
      </c>
      <c r="L30" s="32" t="s">
        <v>22</v>
      </c>
      <c r="M30" s="32" t="s">
        <v>23</v>
      </c>
      <c r="N30" s="32" t="s">
        <v>24</v>
      </c>
      <c r="O30" s="42" t="s">
        <v>25</v>
      </c>
      <c r="P30" s="42" t="s">
        <v>26</v>
      </c>
      <c r="Q30" s="42" t="s">
        <v>33</v>
      </c>
    </row>
    <row r="31" spans="2:20" ht="18.75" customHeight="1" x14ac:dyDescent="0.3">
      <c r="B31" s="48" t="s">
        <v>34</v>
      </c>
      <c r="C31" s="61" t="s">
        <v>29</v>
      </c>
      <c r="D31" s="62"/>
      <c r="E31" s="26">
        <v>704956000</v>
      </c>
      <c r="F31" s="25">
        <v>1174246000</v>
      </c>
      <c r="G31" s="25">
        <v>1227994000</v>
      </c>
      <c r="H31" s="46">
        <v>1668814000</v>
      </c>
      <c r="I31" s="13"/>
      <c r="J31" s="13"/>
      <c r="K31" s="13"/>
      <c r="L31" s="13"/>
      <c r="M31" s="13"/>
      <c r="N31" s="13"/>
      <c r="O31" s="13"/>
      <c r="P31" s="13">
        <v>0</v>
      </c>
      <c r="Q31" s="15">
        <f>E31+F31+G31+H31+I31+J31+K31+L31+M31+N31+O31+P31</f>
        <v>4776010000</v>
      </c>
    </row>
    <row r="32" spans="2:20" ht="18.75" customHeight="1" x14ac:dyDescent="0.3">
      <c r="B32" s="48"/>
      <c r="C32" s="61" t="s">
        <v>14</v>
      </c>
      <c r="D32" s="62"/>
      <c r="E32" s="26">
        <v>255256300</v>
      </c>
      <c r="F32" s="25">
        <v>113668000</v>
      </c>
      <c r="G32" s="12">
        <v>409260000</v>
      </c>
      <c r="H32" s="46">
        <v>200159700</v>
      </c>
      <c r="I32" s="13"/>
      <c r="J32" s="13"/>
      <c r="K32" s="13"/>
      <c r="L32" s="13"/>
      <c r="M32" s="13"/>
      <c r="N32" s="13"/>
      <c r="O32" s="13"/>
      <c r="P32" s="13"/>
      <c r="Q32" s="15">
        <f>E32+F32+G32+H32+I32+J32+K32+L32+M32+N32+O32+P32</f>
        <v>978344000</v>
      </c>
    </row>
    <row r="33" spans="2:20" ht="18.75" customHeight="1" x14ac:dyDescent="0.3">
      <c r="B33" s="49"/>
      <c r="C33" s="61" t="s">
        <v>42</v>
      </c>
      <c r="D33" s="62"/>
      <c r="E33" s="26"/>
      <c r="F33" s="25">
        <v>15000000</v>
      </c>
      <c r="G33" s="26">
        <v>15000000</v>
      </c>
      <c r="H33" s="46">
        <v>37500000</v>
      </c>
      <c r="I33" s="25"/>
      <c r="J33" s="25"/>
      <c r="K33" s="25"/>
      <c r="L33" s="25"/>
      <c r="M33" s="25"/>
      <c r="N33" s="25"/>
      <c r="O33" s="25"/>
      <c r="P33" s="25"/>
      <c r="Q33" s="15">
        <f>E33+F33+G33+H33+I33+J33+K33+L33+M33+N33+O33+P33</f>
        <v>67500000</v>
      </c>
    </row>
    <row r="34" spans="2:20" s="5" customFormat="1" ht="18.75" customHeight="1" x14ac:dyDescent="0.3">
      <c r="B34" s="48"/>
      <c r="C34" s="61" t="s">
        <v>13</v>
      </c>
      <c r="D34" s="62"/>
      <c r="E34" s="12"/>
      <c r="F34" s="13"/>
      <c r="G34" s="12"/>
      <c r="H34" s="45"/>
      <c r="I34" s="13"/>
      <c r="J34" s="13"/>
      <c r="K34" s="13"/>
      <c r="L34" s="13"/>
      <c r="M34" s="13"/>
      <c r="N34" s="13"/>
      <c r="O34" s="13"/>
      <c r="P34" s="13"/>
      <c r="Q34" s="15">
        <f>E34+F34+G34+H34+I34+J34+K34+L34+M34+N34+O34+P34</f>
        <v>0</v>
      </c>
      <c r="T34" s="6"/>
    </row>
    <row r="35" spans="2:20" s="5" customFormat="1" ht="18.75" customHeight="1" x14ac:dyDescent="0.3">
      <c r="B35" s="48"/>
      <c r="C35" s="61" t="s">
        <v>47</v>
      </c>
      <c r="D35" s="62"/>
      <c r="E35" s="12"/>
      <c r="F35" s="13"/>
      <c r="G35" s="12"/>
      <c r="H35" s="45"/>
      <c r="I35" s="13"/>
      <c r="J35" s="13"/>
      <c r="K35" s="13"/>
      <c r="L35" s="13"/>
      <c r="M35" s="13"/>
      <c r="N35" s="13"/>
      <c r="O35" s="13"/>
      <c r="P35" s="13"/>
      <c r="Q35" s="15">
        <f>E35+F35+G35+H35+I35+J35+K35+L35+M35+N35+O35+P35</f>
        <v>0</v>
      </c>
      <c r="T35" s="6"/>
    </row>
    <row r="36" spans="2:20" s="5" customFormat="1" ht="18.75" customHeight="1" x14ac:dyDescent="0.3">
      <c r="B36" s="48" t="s">
        <v>30</v>
      </c>
      <c r="C36" s="49"/>
      <c r="D36" s="48"/>
      <c r="E36" s="16">
        <f>SUM(E31:E35)</f>
        <v>960212300</v>
      </c>
      <c r="F36" s="15">
        <f>SUM(F31:F35)</f>
        <v>1302914000</v>
      </c>
      <c r="G36" s="16">
        <f>SUM(G31:G35)</f>
        <v>1652254000</v>
      </c>
      <c r="H36" s="47">
        <f t="shared" ref="H36:Q36" si="4">SUM(H31:H35)</f>
        <v>1906473700</v>
      </c>
      <c r="I36" s="13">
        <f t="shared" si="4"/>
        <v>0</v>
      </c>
      <c r="J36" s="13">
        <f t="shared" si="4"/>
        <v>0</v>
      </c>
      <c r="K36" s="13">
        <f t="shared" si="4"/>
        <v>0</v>
      </c>
      <c r="L36" s="13">
        <f t="shared" si="4"/>
        <v>0</v>
      </c>
      <c r="M36" s="13">
        <f t="shared" si="4"/>
        <v>0</v>
      </c>
      <c r="N36" s="15">
        <f t="shared" si="4"/>
        <v>0</v>
      </c>
      <c r="O36" s="15">
        <f t="shared" si="4"/>
        <v>0</v>
      </c>
      <c r="P36" s="15">
        <f t="shared" si="4"/>
        <v>0</v>
      </c>
      <c r="Q36" s="15">
        <f t="shared" si="4"/>
        <v>5821854000</v>
      </c>
      <c r="T36" s="6"/>
    </row>
    <row r="38" spans="2:20" s="5" customFormat="1" ht="18.75" customHeight="1" x14ac:dyDescent="0.3">
      <c r="B38" s="22"/>
      <c r="C38" s="22"/>
      <c r="D38" s="6"/>
      <c r="E38" s="17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T38" s="6"/>
    </row>
    <row r="39" spans="2:20" s="5" customFormat="1" ht="18.75" customHeight="1" x14ac:dyDescent="0.3">
      <c r="B39" s="22"/>
      <c r="C39" s="22"/>
      <c r="D39" s="6"/>
      <c r="E39" s="17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T39" s="6"/>
    </row>
    <row r="40" spans="2:20" s="5" customFormat="1" ht="18.75" customHeight="1" x14ac:dyDescent="0.3">
      <c r="B40" s="22"/>
      <c r="C40" s="22"/>
      <c r="D40" s="6"/>
      <c r="E40" s="17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T40" s="6"/>
    </row>
    <row r="41" spans="2:20" s="5" customFormat="1" ht="18.75" customHeight="1" x14ac:dyDescent="0.3">
      <c r="B41" s="22"/>
      <c r="C41" s="22"/>
      <c r="D41" s="6"/>
      <c r="E41" s="8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T41" s="6"/>
    </row>
    <row r="42" spans="2:20" s="5" customFormat="1" ht="18.75" customHeight="1" x14ac:dyDescent="0.3">
      <c r="B42" s="6"/>
      <c r="C42" s="6"/>
      <c r="D42" s="6"/>
      <c r="E42" s="8"/>
      <c r="F42" s="9"/>
      <c r="H42" s="9"/>
      <c r="I42" s="9"/>
      <c r="J42" s="9"/>
      <c r="K42" s="9"/>
      <c r="L42" s="9"/>
      <c r="M42" s="9"/>
      <c r="N42" s="9"/>
      <c r="O42" s="9"/>
      <c r="P42" s="9"/>
      <c r="Q42" s="9"/>
      <c r="T42" s="6"/>
    </row>
    <row r="43" spans="2:20" s="5" customFormat="1" ht="18.75" customHeight="1" x14ac:dyDescent="0.3">
      <c r="B43" s="6"/>
      <c r="C43" s="6"/>
      <c r="D43" s="6"/>
      <c r="E43" s="8"/>
      <c r="F43" s="18"/>
      <c r="H43" s="9"/>
      <c r="I43" s="9"/>
      <c r="J43" s="9"/>
      <c r="K43" s="9"/>
      <c r="L43" s="9"/>
      <c r="M43" s="9"/>
      <c r="N43" s="9"/>
      <c r="O43" s="9"/>
      <c r="P43" s="9"/>
      <c r="Q43" s="9"/>
      <c r="T43" s="6"/>
    </row>
    <row r="44" spans="2:20" s="5" customFormat="1" ht="18.75" customHeight="1" x14ac:dyDescent="0.3">
      <c r="B44" s="6"/>
      <c r="C44" s="6"/>
      <c r="D44" s="6"/>
      <c r="E44" s="8"/>
      <c r="H44" s="9"/>
      <c r="I44" s="9"/>
      <c r="J44" s="9"/>
      <c r="K44" s="9"/>
      <c r="L44" s="9"/>
      <c r="M44" s="9"/>
      <c r="N44" s="9"/>
      <c r="O44" s="9"/>
      <c r="P44" s="9"/>
      <c r="Q44" s="9"/>
      <c r="T44" s="6"/>
    </row>
    <row r="45" spans="2:20" s="5" customFormat="1" ht="18.75" customHeight="1" x14ac:dyDescent="0.3">
      <c r="B45" s="6"/>
      <c r="C45" s="6"/>
      <c r="D45" s="6"/>
      <c r="E45" s="8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T45" s="6"/>
    </row>
    <row r="46" spans="2:20" s="5" customFormat="1" ht="18.75" customHeight="1" x14ac:dyDescent="0.3">
      <c r="B46" s="6"/>
      <c r="C46" s="6"/>
      <c r="D46" s="6"/>
      <c r="E46" s="8"/>
      <c r="H46" s="9"/>
      <c r="I46" s="9"/>
      <c r="J46" s="9"/>
      <c r="K46" s="9"/>
      <c r="L46" s="9"/>
      <c r="M46" s="9"/>
      <c r="N46" s="9"/>
      <c r="O46" s="9"/>
      <c r="P46" s="9"/>
      <c r="Q46" s="9"/>
      <c r="T46" s="6"/>
    </row>
    <row r="47" spans="2:20" s="5" customFormat="1" ht="18.75" customHeight="1" x14ac:dyDescent="0.3">
      <c r="B47" s="6"/>
      <c r="C47" s="6"/>
      <c r="D47" s="6"/>
      <c r="E47" s="8"/>
      <c r="F47" s="9"/>
      <c r="H47" s="9"/>
      <c r="I47" s="9"/>
      <c r="J47" s="9"/>
      <c r="K47" s="9"/>
      <c r="L47" s="9"/>
      <c r="M47" s="9"/>
      <c r="N47" s="9"/>
      <c r="O47" s="9"/>
      <c r="P47" s="9"/>
      <c r="Q47" s="9"/>
      <c r="T47" s="6"/>
    </row>
    <row r="49" spans="2:20" s="9" customFormat="1" ht="18.75" customHeight="1" x14ac:dyDescent="0.3">
      <c r="B49" s="6"/>
      <c r="C49" s="6"/>
      <c r="D49" s="6"/>
      <c r="E49" s="8"/>
      <c r="F49" s="21"/>
      <c r="R49" s="5"/>
      <c r="S49" s="5"/>
      <c r="T49" s="6"/>
    </row>
  </sheetData>
  <mergeCells count="33">
    <mergeCell ref="B3:D3"/>
    <mergeCell ref="B9:B13"/>
    <mergeCell ref="C9:D9"/>
    <mergeCell ref="C10:D10"/>
    <mergeCell ref="C11:D11"/>
    <mergeCell ref="B8:D8"/>
    <mergeCell ref="B14:D14"/>
    <mergeCell ref="B26:D26"/>
    <mergeCell ref="B4:D4"/>
    <mergeCell ref="G6:H6"/>
    <mergeCell ref="B7:D7"/>
    <mergeCell ref="C12:D12"/>
    <mergeCell ref="C13:D13"/>
    <mergeCell ref="C20:D20"/>
    <mergeCell ref="C21:D21"/>
    <mergeCell ref="C22:D22"/>
    <mergeCell ref="C18:C19"/>
    <mergeCell ref="B17:D17"/>
    <mergeCell ref="B36:D36"/>
    <mergeCell ref="B16:D16"/>
    <mergeCell ref="B24:D24"/>
    <mergeCell ref="B18:B23"/>
    <mergeCell ref="B28:D28"/>
    <mergeCell ref="C33:D33"/>
    <mergeCell ref="B27:D27"/>
    <mergeCell ref="B31:B35"/>
    <mergeCell ref="C31:D31"/>
    <mergeCell ref="C32:D32"/>
    <mergeCell ref="C34:D34"/>
    <mergeCell ref="C35:D35"/>
    <mergeCell ref="B30:D30"/>
    <mergeCell ref="B29:D29"/>
    <mergeCell ref="C23:D2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5" orientation="landscape" r:id="rId1"/>
  <ignoredErrors>
    <ignoredError sqref="E5:E13 E30 E33:E34 I5:I13 I30 I33:I34 I31 I32 H5:H13 H30 H34 G5:G13 G30 G34 F5:F13 F30 F34 N5:N13 N30 N33:N34 N31 N32 M5:M13 M30 M33:M34 M31 M32 L5:L13 L30 L33:L34 L31 L32 K5:K13 K30 K33:K34 K31 K32 J5:J13 J30 J33:J34 J31 J32" evalError="1"/>
    <ignoredError sqref="E14:E16 E19:E22 E17 E24:E26 F23 F18 I14:I16 I19:I22 I17 I24:I26 I23 I18 I29 H14:H16 H19:H22 H17 H24:H26 H23 H18 G14:G16 G19:G22 G17 G24:G26 G23 G18 F14:F16 F19:F22 F17 F24:F26 N14:N16 N19:N22 N24:N26 N23 N18 N29 M14:M16 M19:M22 M17 M24:M26 M23 M18 M29 L14:L16 L19:L22 L17 L24:L26 L23 L18 L29 K14:K16 K19:K22 K17 K24:K26 K23 K18 K29 J14:J16 J19:J22 J17 J24:J26 J23 J18 J29" evalError="1" formulaRange="1"/>
    <ignoredError sqref="O14:O16 O29 O18:O26 O17 Q14:Q16 Q18:Q26 P14:P16 P29 P18:P26 P17" formulaRang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7"/>
  <sheetViews>
    <sheetView workbookViewId="0"/>
  </sheetViews>
  <sheetFormatPr defaultRowHeight="16.5" x14ac:dyDescent="0.3"/>
  <cols>
    <col min="1" max="1" width="15.125" bestFit="1" customWidth="1"/>
    <col min="2" max="2" width="11.125" bestFit="1" customWidth="1"/>
    <col min="3" max="3" width="20.625" bestFit="1" customWidth="1"/>
    <col min="4" max="6" width="14.125" bestFit="1" customWidth="1"/>
  </cols>
  <sheetData>
    <row r="1" spans="1:6" x14ac:dyDescent="0.3">
      <c r="A1" t="s">
        <v>8</v>
      </c>
      <c r="B1" s="2" t="s">
        <v>7</v>
      </c>
      <c r="C1" t="s">
        <v>0</v>
      </c>
      <c r="D1" s="1" t="e">
        <f>#REF!</f>
        <v>#REF!</v>
      </c>
      <c r="E1" s="1" t="e">
        <f>#REF!</f>
        <v>#REF!</v>
      </c>
      <c r="F1" s="1" t="s">
        <v>6</v>
      </c>
    </row>
    <row r="2" spans="1:6" x14ac:dyDescent="0.3">
      <c r="A2" t="s">
        <v>9</v>
      </c>
      <c r="B2" s="3">
        <v>44562</v>
      </c>
      <c r="C2" t="e">
        <f>#REF!&amp;" ▲"</f>
        <v>#REF!</v>
      </c>
      <c r="D2" s="1"/>
      <c r="E2" s="1"/>
      <c r="F2" s="4"/>
    </row>
    <row r="3" spans="1:6" x14ac:dyDescent="0.3">
      <c r="A3" t="s">
        <v>10</v>
      </c>
      <c r="B3" s="3">
        <v>44926</v>
      </c>
      <c r="C3" t="e">
        <f>#REF!&amp;" ▼"</f>
        <v>#REF!</v>
      </c>
    </row>
    <row r="4" spans="1:6" x14ac:dyDescent="0.3">
      <c r="C4" t="e">
        <f>#REF!&amp;" ▲"</f>
        <v>#REF!</v>
      </c>
      <c r="D4" s="2"/>
      <c r="E4" s="2"/>
    </row>
    <row r="5" spans="1:6" x14ac:dyDescent="0.3">
      <c r="B5" t="s">
        <v>11</v>
      </c>
      <c r="C5" t="e">
        <f>#REF!&amp;" ▼"</f>
        <v>#REF!</v>
      </c>
      <c r="D5" s="3"/>
      <c r="E5" s="3"/>
    </row>
    <row r="6" spans="1:6" x14ac:dyDescent="0.3">
      <c r="C6" t="e">
        <f>#REF!&amp;" ▲"</f>
        <v>#REF!</v>
      </c>
    </row>
    <row r="7" spans="1:6" x14ac:dyDescent="0.3">
      <c r="B7" t="s">
        <v>1</v>
      </c>
      <c r="C7" t="e">
        <f>#REF!&amp;" ▼"</f>
        <v>#REF!</v>
      </c>
      <c r="D7" s="2"/>
      <c r="E7" s="2"/>
    </row>
    <row r="8" spans="1:6" x14ac:dyDescent="0.3">
      <c r="B8" t="s">
        <v>2</v>
      </c>
      <c r="C8" t="e">
        <f>#REF!&amp;" ▲"</f>
        <v>#REF!</v>
      </c>
      <c r="D8" s="3"/>
      <c r="E8" s="3"/>
    </row>
    <row r="9" spans="1:6" x14ac:dyDescent="0.3">
      <c r="B9" t="s">
        <v>3</v>
      </c>
      <c r="C9" t="e">
        <f>#REF!&amp;" ▼"</f>
        <v>#REF!</v>
      </c>
    </row>
    <row r="10" spans="1:6" x14ac:dyDescent="0.3">
      <c r="B10" t="s">
        <v>4</v>
      </c>
      <c r="C10" t="e">
        <f>#REF!&amp;" ▲"</f>
        <v>#REF!</v>
      </c>
    </row>
    <row r="11" spans="1:6" x14ac:dyDescent="0.3">
      <c r="B11" t="s">
        <v>5</v>
      </c>
      <c r="C11" t="e">
        <f>#REF!&amp;" ▼"</f>
        <v>#REF!</v>
      </c>
    </row>
    <row r="12" spans="1:6" x14ac:dyDescent="0.3">
      <c r="C12" t="e">
        <f>#REF!&amp;" ▲"</f>
        <v>#REF!</v>
      </c>
    </row>
    <row r="13" spans="1:6" x14ac:dyDescent="0.3">
      <c r="B13" t="b">
        <v>1</v>
      </c>
      <c r="C13" t="e">
        <f>#REF!&amp;" ▼"</f>
        <v>#REF!</v>
      </c>
    </row>
    <row r="14" spans="1:6" x14ac:dyDescent="0.3">
      <c r="C14" t="e">
        <f>#REF!&amp;" ▲"</f>
        <v>#REF!</v>
      </c>
    </row>
    <row r="15" spans="1:6" x14ac:dyDescent="0.3">
      <c r="C15" t="e">
        <f>#REF!&amp;" ▼"</f>
        <v>#REF!</v>
      </c>
    </row>
    <row r="16" spans="1:6" x14ac:dyDescent="0.3">
      <c r="C16" t="e">
        <f>#REF!&amp;" ▲"</f>
        <v>#REF!</v>
      </c>
    </row>
    <row r="17" spans="3:3" x14ac:dyDescent="0.3">
      <c r="C17" t="e">
        <f>#REF!&amp;" ▼"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26년 매출</vt:lpstr>
    </vt:vector>
  </TitlesOfParts>
  <Manager>(주)예스폼 - 김용</Manager>
  <Company>(주)예스폼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매입, 매출대장(미지급금, 미수금)</dc:title>
  <dc:creator>(주)예스폼 - 안나영</dc:creator>
  <cp:keywords>www.yesform.com</cp:keywords>
  <dc:description>본 콘텐츠의 저작권은 예스폼(yesform)에 있으며, 무단복제 및 배포시 법적인 처벌을 받을 수 있습니다.</dc:description>
  <cp:lastModifiedBy>Administrator</cp:lastModifiedBy>
  <cp:lastPrinted>2025-07-11T00:55:45Z</cp:lastPrinted>
  <dcterms:created xsi:type="dcterms:W3CDTF">2018-11-23T00:48:02Z</dcterms:created>
  <dcterms:modified xsi:type="dcterms:W3CDTF">2026-04-22T08:55:25Z</dcterms:modified>
</cp:coreProperties>
</file>